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mileyrastogi/Desktop/"/>
    </mc:Choice>
  </mc:AlternateContent>
  <xr:revisionPtr revIDLastSave="0" documentId="13_ncr:1_{7A97F17C-E38C-B447-8153-4D980B53358B}" xr6:coauthVersionLast="47" xr6:coauthVersionMax="47" xr10:uidLastSave="{00000000-0000-0000-0000-000000000000}"/>
  <bookViews>
    <workbookView xWindow="0" yWindow="660" windowWidth="29400" windowHeight="16700" xr2:uid="{749CBDF8-17A3-0F40-880D-52100FCFE633}"/>
  </bookViews>
  <sheets>
    <sheet name="Patients" sheetId="1" r:id="rId1"/>
    <sheet name="Labs" sheetId="2" r:id="rId2"/>
    <sheet name="Outcomes" sheetId="3" r:id="rId3"/>
    <sheet name="Diagnosis" sheetId="4" r:id="rId4"/>
    <sheet name="Outcome Summary" sheetId="7" r:id="rId5"/>
    <sheet name="Cost by Diagnosis" sheetId="5" r:id="rId6"/>
    <sheet name="Risk vs Outcome" sheetId="8" r:id="rId7"/>
  </sheets>
  <definedNames>
    <definedName name="_xlnm._FilterDatabase" localSheetId="1" hidden="1">Labs!$A$1:$E$201</definedName>
    <definedName name="_xlnm._FilterDatabase" localSheetId="0" hidden="1">Patients!$A$1:$N$201</definedName>
  </definedNames>
  <calcPr calcId="191029"/>
  <pivotCaches>
    <pivotCache cacheId="1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3" i="1"/>
  <c r="M2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48" i="1"/>
  <c r="J49" i="1"/>
  <c r="J50" i="1"/>
  <c r="J51" i="1"/>
  <c r="J52" i="1"/>
  <c r="J53" i="1"/>
  <c r="J54" i="1"/>
  <c r="J55" i="1"/>
  <c r="J56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K3" i="1"/>
  <c r="K4" i="1"/>
  <c r="K5" i="1"/>
  <c r="K6" i="1"/>
  <c r="K7" i="1"/>
  <c r="K8" i="1"/>
  <c r="K9" i="1"/>
  <c r="K10" i="1"/>
  <c r="K11" i="1"/>
  <c r="K12" i="1"/>
  <c r="K13" i="1"/>
  <c r="K1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2" i="1"/>
</calcChain>
</file>

<file path=xl/sharedStrings.xml><?xml version="1.0" encoding="utf-8"?>
<sst xmlns="http://schemas.openxmlformats.org/spreadsheetml/2006/main" count="865" uniqueCount="252">
  <si>
    <t>PatientID</t>
  </si>
  <si>
    <t>Name</t>
  </si>
  <si>
    <t>Age</t>
  </si>
  <si>
    <t>Gender</t>
  </si>
  <si>
    <t>DiagnosisID</t>
  </si>
  <si>
    <t>AdmissionDate</t>
  </si>
  <si>
    <t>DischargeDate</t>
  </si>
  <si>
    <t>OutcomeID</t>
  </si>
  <si>
    <t>TreatmentCost</t>
  </si>
  <si>
    <t>Edward Montes</t>
  </si>
  <si>
    <t>M</t>
  </si>
  <si>
    <t>Jessica Zimmerman</t>
  </si>
  <si>
    <t>Gina Alexander</t>
  </si>
  <si>
    <t>Lori Green</t>
  </si>
  <si>
    <t>F</t>
  </si>
  <si>
    <t>Jack Logan</t>
  </si>
  <si>
    <t>Melinda Robinson</t>
  </si>
  <si>
    <t>Sherry Robinson</t>
  </si>
  <si>
    <t>James Watts</t>
  </si>
  <si>
    <t>Jeanne Butler</t>
  </si>
  <si>
    <t>Benjamin Rogers</t>
  </si>
  <si>
    <t>Carol Sanchez</t>
  </si>
  <si>
    <t>Stacy Clark</t>
  </si>
  <si>
    <t>Kimberly Chase</t>
  </si>
  <si>
    <t>Cody Ryan</t>
  </si>
  <si>
    <t>Kimberly Alexander</t>
  </si>
  <si>
    <t>Olivia Roy</t>
  </si>
  <si>
    <t>Sabrina Medina</t>
  </si>
  <si>
    <t>Jennifer Wright</t>
  </si>
  <si>
    <t>Christian Lynch</t>
  </si>
  <si>
    <t>Jorge Castillo</t>
  </si>
  <si>
    <t>Nicholas Wilcox</t>
  </si>
  <si>
    <t>Toni Gomez</t>
  </si>
  <si>
    <t>Emily King</t>
  </si>
  <si>
    <t>Jordan Harris</t>
  </si>
  <si>
    <t>Adriana Rogers</t>
  </si>
  <si>
    <t>Samuel Thompson</t>
  </si>
  <si>
    <t>Brenda Huber</t>
  </si>
  <si>
    <t>Brett Washington</t>
  </si>
  <si>
    <t>Katherine Gonzales</t>
  </si>
  <si>
    <t>Jacqueline Bauer</t>
  </si>
  <si>
    <t>Brittany Walker</t>
  </si>
  <si>
    <t>Tommy Atkinson</t>
  </si>
  <si>
    <t>Miss Kathryn Mitchell</t>
  </si>
  <si>
    <t>Steven Morales</t>
  </si>
  <si>
    <t>Anthony Frederick</t>
  </si>
  <si>
    <t>Beverly Dillon</t>
  </si>
  <si>
    <t>Monica Walker</t>
  </si>
  <si>
    <t>Russell Small</t>
  </si>
  <si>
    <t>Matthew Rios</t>
  </si>
  <si>
    <t>Nicole Vargas</t>
  </si>
  <si>
    <t>Richard Hill</t>
  </si>
  <si>
    <t>Bonnie Herman</t>
  </si>
  <si>
    <t>Nicholas Wright</t>
  </si>
  <si>
    <t>Kelsey Sanchez</t>
  </si>
  <si>
    <t>Deborah Little</t>
  </si>
  <si>
    <t>Mrs. Carol Andrade</t>
  </si>
  <si>
    <t>Carlos Gutierrez</t>
  </si>
  <si>
    <t>Casey Schneider</t>
  </si>
  <si>
    <t>Lisa Frazier</t>
  </si>
  <si>
    <t>Katie Lawson</t>
  </si>
  <si>
    <t>Mary Johnson</t>
  </si>
  <si>
    <t>Michael Maxwell</t>
  </si>
  <si>
    <t>Patrick Mccormick</t>
  </si>
  <si>
    <t>Bruce Jones</t>
  </si>
  <si>
    <t>Austin Huffman</t>
  </si>
  <si>
    <t>Heather Peterson</t>
  </si>
  <si>
    <t>Justin Keller</t>
  </si>
  <si>
    <t>Robert Aguirre</t>
  </si>
  <si>
    <t>Christopher Hoffman</t>
  </si>
  <si>
    <t>Tamara Pacheco</t>
  </si>
  <si>
    <t>Jared Hughes</t>
  </si>
  <si>
    <t>Samantha Peck</t>
  </si>
  <si>
    <t>Jared Jacobs</t>
  </si>
  <si>
    <t>Rachel Johnson</t>
  </si>
  <si>
    <t>Lauren Skinner</t>
  </si>
  <si>
    <t>Tina Rodriguez PhD</t>
  </si>
  <si>
    <t>Shirley Spencer</t>
  </si>
  <si>
    <t>Daniel Livingston</t>
  </si>
  <si>
    <t>Stephen Wright</t>
  </si>
  <si>
    <t>James Leblanc</t>
  </si>
  <si>
    <t>John Dawson</t>
  </si>
  <si>
    <t>Sharon Miller</t>
  </si>
  <si>
    <t>Rhonda Nichols</t>
  </si>
  <si>
    <t>William Mclaughlin</t>
  </si>
  <si>
    <t>Melissa Edwards</t>
  </si>
  <si>
    <t>Joshua Shaw</t>
  </si>
  <si>
    <t>Yolanda Tucker</t>
  </si>
  <si>
    <t>Sarah Anderson</t>
  </si>
  <si>
    <t>Meagan Larson</t>
  </si>
  <si>
    <t>Kelly Huffman</t>
  </si>
  <si>
    <t>Sarah Rivas</t>
  </si>
  <si>
    <t>Erica Mills</t>
  </si>
  <si>
    <t>Theodore Oliver</t>
  </si>
  <si>
    <t>Linda Mitchell</t>
  </si>
  <si>
    <t>Jason Harrington</t>
  </si>
  <si>
    <t>Kim Salas DDS</t>
  </si>
  <si>
    <t>Patrick Cantu</t>
  </si>
  <si>
    <t>Brenda Evans</t>
  </si>
  <si>
    <t>Christopher Burch</t>
  </si>
  <si>
    <t>Stephanie Beard</t>
  </si>
  <si>
    <t>James Boyer</t>
  </si>
  <si>
    <t>Julie Rhodes</t>
  </si>
  <si>
    <t>Jennifer Howard</t>
  </si>
  <si>
    <t>Anthony Rodriguez</t>
  </si>
  <si>
    <t>Alexander Rodgers</t>
  </si>
  <si>
    <t>Joshua Riley</t>
  </si>
  <si>
    <t>Dennis Lynch</t>
  </si>
  <si>
    <t>Amanda Rivera</t>
  </si>
  <si>
    <t>Mark Miller</t>
  </si>
  <si>
    <t>Cindy Rivas</t>
  </si>
  <si>
    <t>Kenneth Holden</t>
  </si>
  <si>
    <t>Veronica Beard</t>
  </si>
  <si>
    <t>Jordan Perry</t>
  </si>
  <si>
    <t>Jaime Jacobs</t>
  </si>
  <si>
    <t>Brenda Hines</t>
  </si>
  <si>
    <t>Nancy Weber</t>
  </si>
  <si>
    <t>Angela Schneider</t>
  </si>
  <si>
    <t>Richard Osborne</t>
  </si>
  <si>
    <t>Autumn Garrett</t>
  </si>
  <si>
    <t>Patrick Webb</t>
  </si>
  <si>
    <t>Mrs. Amanda Bright MD</t>
  </si>
  <si>
    <t>Anthony Marshall</t>
  </si>
  <si>
    <t>Kevin Vaughn</t>
  </si>
  <si>
    <t>Dawn Hicks</t>
  </si>
  <si>
    <t>Jeffrey Norris</t>
  </si>
  <si>
    <t>Antonio Ruiz</t>
  </si>
  <si>
    <t>Sarah Mason</t>
  </si>
  <si>
    <t>Nicholas Lee</t>
  </si>
  <si>
    <t>Dr. Edward Hebert</t>
  </si>
  <si>
    <t>Sara Huffman</t>
  </si>
  <si>
    <t>Ashley Rodriguez</t>
  </si>
  <si>
    <t>Jennifer Ramirez</t>
  </si>
  <si>
    <t>Amanda Richardson</t>
  </si>
  <si>
    <t>Jake Bryan</t>
  </si>
  <si>
    <t>James Barron</t>
  </si>
  <si>
    <t>Carmen Rosales</t>
  </si>
  <si>
    <t>Joseph Medina</t>
  </si>
  <si>
    <t>Nancy Mcmahon</t>
  </si>
  <si>
    <t>Lindsey Vargas</t>
  </si>
  <si>
    <t>Rhonda Nguyen</t>
  </si>
  <si>
    <t>Charles Martin</t>
  </si>
  <si>
    <t>Christina Curtis</t>
  </si>
  <si>
    <t>Mary Jones</t>
  </si>
  <si>
    <t>Christopher Miller</t>
  </si>
  <si>
    <t>Brian Brown</t>
  </si>
  <si>
    <t>Amanda Mason</t>
  </si>
  <si>
    <t>Jordan Rodgers</t>
  </si>
  <si>
    <t>Jessica Watson</t>
  </si>
  <si>
    <t>Edward Thornton</t>
  </si>
  <si>
    <t>Randy Gutierrez</t>
  </si>
  <si>
    <t>Victoria Cole</t>
  </si>
  <si>
    <t>Tracy Chavez</t>
  </si>
  <si>
    <t>Kimberly Gregory</t>
  </si>
  <si>
    <t>William Webb</t>
  </si>
  <si>
    <t>Donna Peterson</t>
  </si>
  <si>
    <t>Jessica Long</t>
  </si>
  <si>
    <t>Jamie Williams</t>
  </si>
  <si>
    <t>Guy Shepard</t>
  </si>
  <si>
    <t>Karen Mcbride</t>
  </si>
  <si>
    <t>Jeffery House</t>
  </si>
  <si>
    <t>Natalie Skinner</t>
  </si>
  <si>
    <t>Devin James</t>
  </si>
  <si>
    <t>Tami Warner</t>
  </si>
  <si>
    <t>Mrs. Carol Chambers</t>
  </si>
  <si>
    <t>Traci Reyes</t>
  </si>
  <si>
    <t>Rhonda Robertson</t>
  </si>
  <si>
    <t>Tracy Wood</t>
  </si>
  <si>
    <t>Shannon Stewart</t>
  </si>
  <si>
    <t>Juan Malone</t>
  </si>
  <si>
    <t>Kristin Chapman</t>
  </si>
  <si>
    <t>Ann Adams</t>
  </si>
  <si>
    <t>Jesus Coleman</t>
  </si>
  <si>
    <t>Shawn Burke</t>
  </si>
  <si>
    <t>Ruth Strong</t>
  </si>
  <si>
    <t>Michael Warren</t>
  </si>
  <si>
    <t>Raymond Chavez</t>
  </si>
  <si>
    <t>Scott Peterson</t>
  </si>
  <si>
    <t>Frank Reid</t>
  </si>
  <si>
    <t>Shawna Webb</t>
  </si>
  <si>
    <t>Gregory Murphy</t>
  </si>
  <si>
    <t>Timothy Greene</t>
  </si>
  <si>
    <t>Kimberly Brady</t>
  </si>
  <si>
    <t>Mary Fowler</t>
  </si>
  <si>
    <t>Alexander Bradshaw</t>
  </si>
  <si>
    <t>Jonathan Baird</t>
  </si>
  <si>
    <t>Rebecca Baker</t>
  </si>
  <si>
    <t>Jennifer Sanchez</t>
  </si>
  <si>
    <t>Rebecca Castaneda</t>
  </si>
  <si>
    <t>Darren Scott</t>
  </si>
  <si>
    <t>Nicole Hall</t>
  </si>
  <si>
    <t>Gary Wade</t>
  </si>
  <si>
    <t>Kristen Wood</t>
  </si>
  <si>
    <t>Sean Valenzuela</t>
  </si>
  <si>
    <t>James Smith</t>
  </si>
  <si>
    <t>Marcus Adams</t>
  </si>
  <si>
    <t>Melissa Torres</t>
  </si>
  <si>
    <t>Robert Wade</t>
  </si>
  <si>
    <t>Benjamin White</t>
  </si>
  <si>
    <t>James Jacobs</t>
  </si>
  <si>
    <t>Kristin Underwood</t>
  </si>
  <si>
    <t>David Moore</t>
  </si>
  <si>
    <t>Francisco Lester</t>
  </si>
  <si>
    <t>Nicholas Jennings</t>
  </si>
  <si>
    <t>Andrew Hawkins</t>
  </si>
  <si>
    <t>Jonathan Potter</t>
  </si>
  <si>
    <t>Shelly Dominguez</t>
  </si>
  <si>
    <t>Destiny Johnson</t>
  </si>
  <si>
    <t>Catherine Case</t>
  </si>
  <si>
    <t>Dennis Wolfe</t>
  </si>
  <si>
    <t>Gregory Bates</t>
  </si>
  <si>
    <t>LabID</t>
  </si>
  <si>
    <t>TestName</t>
  </si>
  <si>
    <t>Result</t>
  </si>
  <si>
    <t>NormalRange</t>
  </si>
  <si>
    <t>Blood Pressure</t>
  </si>
  <si>
    <t>150-200</t>
  </si>
  <si>
    <t>Cholesterol</t>
  </si>
  <si>
    <t>13-17</t>
  </si>
  <si>
    <t>0.6-1.2</t>
  </si>
  <si>
    <t>Blood Sugar</t>
  </si>
  <si>
    <t>120/80</t>
  </si>
  <si>
    <t>Creatinine</t>
  </si>
  <si>
    <t>Hemoglobin</t>
  </si>
  <si>
    <t>20-50</t>
  </si>
  <si>
    <t>Vitamin D</t>
  </si>
  <si>
    <t>70-120</t>
  </si>
  <si>
    <t>OutcomeName</t>
  </si>
  <si>
    <t>Recovered</t>
  </si>
  <si>
    <t>Complicated</t>
  </si>
  <si>
    <t>Deceased</t>
  </si>
  <si>
    <t>DiagnosisName</t>
  </si>
  <si>
    <t>Hypertension</t>
  </si>
  <si>
    <t>Diabetes</t>
  </si>
  <si>
    <t>Heart Disease</t>
  </si>
  <si>
    <t>Asthma</t>
  </si>
  <si>
    <t>Stroke</t>
  </si>
  <si>
    <t>COPD</t>
  </si>
  <si>
    <t>Cancer</t>
  </si>
  <si>
    <t>Arthritis</t>
  </si>
  <si>
    <t>Kidney Disease</t>
  </si>
  <si>
    <t>Liver Disease</t>
  </si>
  <si>
    <t>Length of Stay</t>
  </si>
  <si>
    <t>Abnormal Blood Sugar Flag</t>
  </si>
  <si>
    <t>Risk Score</t>
  </si>
  <si>
    <t>Row Labels</t>
  </si>
  <si>
    <t>Grand Total</t>
  </si>
  <si>
    <t>Average of TreatmentCost</t>
  </si>
  <si>
    <t>Count of PatientID</t>
  </si>
  <si>
    <t>High Risk</t>
  </si>
  <si>
    <t>Low Risk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</si>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</sst>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/>
    <xf numFmtId="0" fontId="19" fillId="33" borderId="10" xfId="0" applyFont="1" applyFill="1" applyBorder="1" applyAlignment="1">
      <alignment horizontal="center" vertical="center"/>
    </xf>
    <xf numFmtId="14" fontId="19" fillId="33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1-Data.xlsx]Outcome Summary!PivotTable2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'Outcome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'Outcome Summary'!$A$4:$A$7</c:f>
              <c:strCache>
                <c:ptCount val="3"/>
                <c:pt idx="0">
                  <c:v>Complicated</c:v>
                </c:pt>
                <c:pt idx="1">
                  <c:v>Deceased</c:v>
                </c:pt>
                <c:pt idx="2">
                  <c:v>Recovered</c:v>
                </c:pt>
              </c:strCache>
            </c:strRef>
          </c:cat>
          <c:val>
            <c:numRef>
              <c:f>'Outcome Summary'!$B$4:$B$7</c:f>
              <c:numCache>
                <c:formatCode>General</c:formatCode>
                <c:ptCount val="3"/>
                <c:pt idx="0">
                  <c:v>68</c:v>
                </c:pt>
                <c:pt idx="1">
                  <c:v>69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A-7F45-9F2E-95206885C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5175935"/>
        <c:axId val="1748681151"/>
      </c:barChart>
      <c:catAx>
        <c:axId val="151517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681151"/>
        <c:crosses val="autoZero"/>
        <c:auto val="1"/>
        <c:lblAlgn val="ctr"/>
        <c:lblOffset val="100"/>
        <c:noMultiLvlLbl val="0"/>
      </c:catAx>
      <c:valAx>
        <c:axId val="174868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7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1-Data.xlsx]Cost by Diagnosis!PivotTable1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 by Diagnosis'!$B$3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 by Diagnosis'!$A$4:$A$14</c:f>
              <c:strCache>
                <c:ptCount val="10"/>
                <c:pt idx="0">
                  <c:v>Arthritis</c:v>
                </c:pt>
                <c:pt idx="1">
                  <c:v>Kidney Disease</c:v>
                </c:pt>
                <c:pt idx="2">
                  <c:v>Stroke</c:v>
                </c:pt>
                <c:pt idx="3">
                  <c:v>Heart Disease</c:v>
                </c:pt>
                <c:pt idx="4">
                  <c:v>Cancer</c:v>
                </c:pt>
                <c:pt idx="5">
                  <c:v>Diabetes</c:v>
                </c:pt>
                <c:pt idx="6">
                  <c:v>Asthma</c:v>
                </c:pt>
                <c:pt idx="7">
                  <c:v>Liver Disease</c:v>
                </c:pt>
                <c:pt idx="8">
                  <c:v>Hypertension</c:v>
                </c:pt>
                <c:pt idx="9">
                  <c:v>COPD</c:v>
                </c:pt>
              </c:strCache>
            </c:strRef>
          </c:cat>
          <c:val>
            <c:numRef>
              <c:f>'Cost by Diagnosis'!$B$4:$B$14</c:f>
              <c:numCache>
                <c:formatCode>General</c:formatCode>
                <c:ptCount val="10"/>
                <c:pt idx="0">
                  <c:v>6678.7647058823532</c:v>
                </c:pt>
                <c:pt idx="1">
                  <c:v>6329</c:v>
                </c:pt>
                <c:pt idx="2">
                  <c:v>6267.347826086957</c:v>
                </c:pt>
                <c:pt idx="3">
                  <c:v>6236.708333333333</c:v>
                </c:pt>
                <c:pt idx="4">
                  <c:v>6234.3888888888887</c:v>
                </c:pt>
                <c:pt idx="5">
                  <c:v>6153.1764705882351</c:v>
                </c:pt>
                <c:pt idx="6">
                  <c:v>6090.8235294117649</c:v>
                </c:pt>
                <c:pt idx="7">
                  <c:v>5976</c:v>
                </c:pt>
                <c:pt idx="8">
                  <c:v>5854.5</c:v>
                </c:pt>
                <c:pt idx="9">
                  <c:v>5532.7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E-A143-BD1B-853216257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5181311"/>
        <c:axId val="1656484543"/>
      </c:barChart>
      <c:catAx>
        <c:axId val="151518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484543"/>
        <c:crosses val="autoZero"/>
        <c:auto val="1"/>
        <c:lblAlgn val="ctr"/>
        <c:lblOffset val="100"/>
        <c:noMultiLvlLbl val="0"/>
      </c:catAx>
      <c:valAx>
        <c:axId val="165648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8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795020</xdr:colOff>
      <xdr:row>2</xdr:row>
      <xdr:rowOff>99060</xdr:rowOff>
    </xdr:from>
    <xdr:to>
      <xdr:col>11</xdr:col>
      <xdr:colOff>353060</xdr:colOff>
      <xdr:row>25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9047B0-CB34-49D9-6D91-2FCF7840F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</xdr:colOff>
      <xdr:row>1</xdr:row>
      <xdr:rowOff>132080</xdr:rowOff>
    </xdr:from>
    <xdr:to>
      <xdr:col>12</xdr:col>
      <xdr:colOff>612140</xdr:colOff>
      <xdr:row>28</xdr:row>
      <xdr:rowOff>119380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CCA458-3319-C039-F447-08B5ABDB7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iley Rastogi" refreshedDate="46104.57611898148" createdVersion="8" refreshedVersion="8" minRefreshableVersion="3" recordCount="200" xr:uid="{EBA4DE93-0DD6-4C4D-9AF2-59FB5E67FC75}">
  <cacheSource type="worksheet">
    <worksheetSource ref="A1:N201" sheet="Patients"/>
  </cacheSource>
  <cacheFields count="14">
    <cacheField name="PatientID" numFmtId="0">
      <sharedItems containsSemiMixedTypes="0" containsString="0" containsNumber="1" containsInteger="1" minValue="1" maxValue="200"/>
    </cacheField>
    <cacheField name="Name" numFmtId="0">
      <sharedItems count="200">
        <s v="Edward Montes"/>
        <s v="Jessica Zimmerman"/>
        <s v="Gina Alexander"/>
        <s v="Lori Green"/>
        <s v="Jack Logan"/>
        <s v="Melinda Robinson"/>
        <s v="Sherry Robinson"/>
        <s v="James Watts"/>
        <s v="Jeanne Butler"/>
        <s v="Benjamin Rogers"/>
        <s v="Carol Sanchez"/>
        <s v="Stacy Clark"/>
        <s v="Kimberly Chase"/>
        <s v="Cody Ryan"/>
        <s v="Kimberly Alexander"/>
        <s v="Olivia Roy"/>
        <s v="Sabrina Medina"/>
        <s v="Jennifer Wright"/>
        <s v="Christian Lynch"/>
        <s v="Jorge Castillo"/>
        <s v="Nicholas Wilcox"/>
        <s v="Toni Gomez"/>
        <s v="Emily King"/>
        <s v="Jordan Harris"/>
        <s v="Adriana Rogers"/>
        <s v="Samuel Thompson"/>
        <s v="Brenda Huber"/>
        <s v="Brett Washington"/>
        <s v="Katherine Gonzales"/>
        <s v="Jacqueline Bauer"/>
        <s v="Brittany Walker"/>
        <s v="Tommy Atkinson"/>
        <s v="Miss Kathryn Mitchell"/>
        <s v="Steven Morales"/>
        <s v="Anthony Frederick"/>
        <s v="Beverly Dillon"/>
        <s v="Monica Walker"/>
        <s v="Russell Small"/>
        <s v="Matthew Rios"/>
        <s v="Nicole Vargas"/>
        <s v="Richard Hill"/>
        <s v="Bonnie Herman"/>
        <s v="Nicholas Wright"/>
        <s v="Kelsey Sanchez"/>
        <s v="Deborah Little"/>
        <s v="Mrs. Carol Andrade"/>
        <s v="Carlos Gutierrez"/>
        <s v="Casey Schneider"/>
        <s v="Lisa Frazier"/>
        <s v="Katie Lawson"/>
        <s v="Mary Johnson"/>
        <s v="Michael Maxwell"/>
        <s v="Patrick Mccormick"/>
        <s v="Bruce Jones"/>
        <s v="Austin Huffman"/>
        <s v="Heather Peterson"/>
        <s v="Justin Keller"/>
        <s v="Robert Aguirre"/>
        <s v="Christopher Hoffman"/>
        <s v="Tamara Pacheco"/>
        <s v="Jared Hughes"/>
        <s v="Samantha Peck"/>
        <s v="Jared Jacobs"/>
        <s v="Rachel Johnson"/>
        <s v="Lauren Skinner"/>
        <s v="Tina Rodriguez PhD"/>
        <s v="Shirley Spencer"/>
        <s v="Daniel Livingston"/>
        <s v="Stephen Wright"/>
        <s v="James Leblanc"/>
        <s v="John Dawson"/>
        <s v="Sharon Miller"/>
        <s v="Rhonda Nichols"/>
        <s v="William Mclaughlin"/>
        <s v="Melissa Edwards"/>
        <s v="Joshua Shaw"/>
        <s v="Yolanda Tucker"/>
        <s v="Sarah Anderson"/>
        <s v="Meagan Larson"/>
        <s v="Kelly Huffman"/>
        <s v="Sarah Rivas"/>
        <s v="Erica Mills"/>
        <s v="Theodore Oliver"/>
        <s v="Linda Mitchell"/>
        <s v="Jason Harrington"/>
        <s v="Kim Salas DDS"/>
        <s v="Patrick Cantu"/>
        <s v="Brenda Evans"/>
        <s v="Christopher Burch"/>
        <s v="Stephanie Beard"/>
        <s v="James Boyer"/>
        <s v="Julie Rhodes"/>
        <s v="Jennifer Howard"/>
        <s v="Anthony Rodriguez"/>
        <s v="Alexander Rodgers"/>
        <s v="Joshua Riley"/>
        <s v="Dennis Lynch"/>
        <s v="Amanda Rivera"/>
        <s v="Mark Miller"/>
        <s v="Cindy Rivas"/>
        <s v="Kenneth Holden"/>
        <s v="Veronica Beard"/>
        <s v="Jordan Perry"/>
        <s v="Jaime Jacobs"/>
        <s v="Brenda Hines"/>
        <s v="Nancy Weber"/>
        <s v="Angela Schneider"/>
        <s v="Richard Osborne"/>
        <s v="Autumn Garrett"/>
        <s v="Patrick Webb"/>
        <s v="Mrs. Amanda Bright MD"/>
        <s v="Anthony Marshall"/>
        <s v="Kevin Vaughn"/>
        <s v="Dawn Hicks"/>
        <s v="Jeffrey Norris"/>
        <s v="Antonio Ruiz"/>
        <s v="Sarah Mason"/>
        <s v="Nicholas Lee"/>
        <s v="Dr. Edward Hebert"/>
        <s v="Sara Huffman"/>
        <s v="Ashley Rodriguez"/>
        <s v="Jennifer Ramirez"/>
        <s v="Amanda Richardson"/>
        <s v="Jake Bryan"/>
        <s v="James Barron"/>
        <s v="Carmen Rosales"/>
        <s v="Joseph Medina"/>
        <s v="Nancy Mcmahon"/>
        <s v="Lindsey Vargas"/>
        <s v="Rhonda Nguyen"/>
        <s v="Charles Martin"/>
        <s v="Christina Curtis"/>
        <s v="Mary Jones"/>
        <s v="Christopher Miller"/>
        <s v="Brian Brown"/>
        <s v="Amanda Mason"/>
        <s v="Jordan Rodgers"/>
        <s v="Jessica Watson"/>
        <s v="Edward Thornton"/>
        <s v="Randy Gutierrez"/>
        <s v="Victoria Cole"/>
        <s v="Tracy Chavez"/>
        <s v="Kimberly Gregory"/>
        <s v="William Webb"/>
        <s v="Donna Peterson"/>
        <s v="Jessica Long"/>
        <s v="Jamie Williams"/>
        <s v="Guy Shepard"/>
        <s v="Karen Mcbride"/>
        <s v="Jeffery House"/>
        <s v="Natalie Skinner"/>
        <s v="Devin James"/>
        <s v="Tami Warner"/>
        <s v="Mrs. Carol Chambers"/>
        <s v="Traci Reyes"/>
        <s v="Rhonda Robertson"/>
        <s v="Tracy Wood"/>
        <s v="Shannon Stewart"/>
        <s v="Juan Malone"/>
        <s v="Kristin Chapman"/>
        <s v="Ann Adams"/>
        <s v="Jesus Coleman"/>
        <s v="Shawn Burke"/>
        <s v="Ruth Strong"/>
        <s v="Michael Warren"/>
        <s v="Raymond Chavez"/>
        <s v="Scott Peterson"/>
        <s v="Frank Reid"/>
        <s v="Shawna Webb"/>
        <s v="Gregory Murphy"/>
        <s v="Timothy Greene"/>
        <s v="Kimberly Brady"/>
        <s v="Mary Fowler"/>
        <s v="Alexander Bradshaw"/>
        <s v="Jonathan Baird"/>
        <s v="Rebecca Baker"/>
        <s v="Jennifer Sanchez"/>
        <s v="Rebecca Castaneda"/>
        <s v="Darren Scott"/>
        <s v="Nicole Hall"/>
        <s v="Gary Wade"/>
        <s v="Kristen Wood"/>
        <s v="Sean Valenzuela"/>
        <s v="James Smith"/>
        <s v="Marcus Adams"/>
        <s v="Melissa Torres"/>
        <s v="Robert Wade"/>
        <s v="Benjamin White"/>
        <s v="James Jacobs"/>
        <s v="Kristin Underwood"/>
        <s v="David Moore"/>
        <s v="Francisco Lester"/>
        <s v="Nicholas Jennings"/>
        <s v="Andrew Hawkins"/>
        <s v="Jonathan Potter"/>
        <s v="Shelly Dominguez"/>
        <s v="Destiny Johnson"/>
        <s v="Catherine Case"/>
        <s v="Dennis Wolfe"/>
        <s v="Gregory Bates"/>
      </sharedItems>
    </cacheField>
    <cacheField name="Age" numFmtId="0">
      <sharedItems containsSemiMixedTypes="0" containsString="0" containsNumber="1" containsInteger="1" minValue="30" maxValue="89" count="58">
        <n v="68"/>
        <n v="81"/>
        <n v="58"/>
        <n v="44"/>
        <n v="72"/>
        <n v="37"/>
        <n v="50"/>
        <n v="87"/>
        <n v="48"/>
        <n v="52"/>
        <n v="40"/>
        <n v="53"/>
        <n v="82"/>
        <n v="65"/>
        <n v="69"/>
        <n v="32"/>
        <n v="51"/>
        <n v="31"/>
        <n v="73"/>
        <n v="59"/>
        <n v="67"/>
        <n v="89"/>
        <n v="62"/>
        <n v="41"/>
        <n v="54"/>
        <n v="78"/>
        <n v="56"/>
        <n v="88"/>
        <n v="71"/>
        <n v="57"/>
        <n v="45"/>
        <n v="76"/>
        <n v="80"/>
        <n v="84"/>
        <n v="86"/>
        <n v="66"/>
        <n v="36"/>
        <n v="38"/>
        <n v="47"/>
        <n v="33"/>
        <n v="43"/>
        <n v="79"/>
        <n v="55"/>
        <n v="49"/>
        <n v="64"/>
        <n v="46"/>
        <n v="35"/>
        <n v="83"/>
        <n v="63"/>
        <n v="39"/>
        <n v="60"/>
        <n v="77"/>
        <n v="74"/>
        <n v="70"/>
        <n v="30"/>
        <n v="34"/>
        <n v="42"/>
        <n v="61"/>
      </sharedItems>
    </cacheField>
    <cacheField name="Gender" numFmtId="0">
      <sharedItems/>
    </cacheField>
    <cacheField name="DiagnosisID" numFmtId="0">
      <sharedItems containsSemiMixedTypes="0" containsString="0" containsNumber="1" containsInteger="1" minValue="1" maxValue="10"/>
    </cacheField>
    <cacheField name="AdmissionDate" numFmtId="14">
      <sharedItems containsSemiMixedTypes="0" containsNonDate="0" containsDate="1" containsString="0" minDate="2025-01-01T00:00:00" maxDate="2025-07-01T00:00:00"/>
    </cacheField>
    <cacheField name="DischargeDate" numFmtId="14">
      <sharedItems containsSemiMixedTypes="0" containsNonDate="0" containsDate="1" containsString="0" minDate="2025-01-14T00:00:00" maxDate="2025-07-11T00:00:00"/>
    </cacheField>
    <cacheField name="OutcomeID" numFmtId="0">
      <sharedItems containsSemiMixedTypes="0" containsString="0" containsNumber="1" containsInteger="1" minValue="1" maxValue="3"/>
    </cacheField>
    <cacheField name="TreatmentCost" numFmtId="0">
      <sharedItems containsSemiMixedTypes="0" containsString="0" containsNumber="1" containsInteger="1" minValue="2054" maxValue="9973"/>
    </cacheField>
    <cacheField name="DiagnosisName" numFmtId="0">
      <sharedItems count="10">
        <s v="Diabetes"/>
        <s v="COPD"/>
        <s v="Heart Disease"/>
        <s v="Kidney Disease"/>
        <s v="Asthma"/>
        <s v="Hypertension"/>
        <s v="Stroke"/>
        <s v="Arthritis"/>
        <s v="Cancer"/>
        <s v="Liver Disease"/>
      </sharedItems>
    </cacheField>
    <cacheField name="OutcomeName" numFmtId="0">
      <sharedItems count="3">
        <s v="Recovered"/>
        <s v="Complicated"/>
        <s v="Deceased"/>
      </sharedItems>
    </cacheField>
    <cacheField name="Length of Stay" numFmtId="0">
      <sharedItems containsSemiMixedTypes="0" containsString="0" containsNumber="1" containsInteger="1" minValue="1" maxValue="169"/>
    </cacheField>
    <cacheField name="Abnormal Blood Sugar Flag" numFmtId="0">
      <sharedItems count="3">
        <s v="Not Applicable"/>
        <s v="High"/>
        <s v="Normal"/>
      </sharedItems>
    </cacheField>
    <cacheField name="Risk Score" numFmtId="0">
      <sharedItems count="2">
        <s v="Low Risk"/>
        <s v="High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s v="M"/>
    <n v="2"/>
    <d v="2025-03-22T00:00:00"/>
    <d v="2025-04-04T00:00:00"/>
    <n v="1"/>
    <n v="4443"/>
    <x v="0"/>
    <x v="0"/>
    <n v="13"/>
    <x v="0"/>
    <x v="0"/>
  </r>
  <r>
    <n v="2"/>
    <x v="1"/>
    <x v="1"/>
    <s v="M"/>
    <n v="2"/>
    <d v="2025-03-31T00:00:00"/>
    <d v="2025-04-02T00:00:00"/>
    <n v="2"/>
    <n v="4265"/>
    <x v="0"/>
    <x v="1"/>
    <n v="2"/>
    <x v="1"/>
    <x v="1"/>
  </r>
  <r>
    <n v="3"/>
    <x v="2"/>
    <x v="2"/>
    <s v="M"/>
    <n v="6"/>
    <d v="2025-01-08T00:00:00"/>
    <d v="2025-03-13T00:00:00"/>
    <n v="1"/>
    <n v="4188"/>
    <x v="1"/>
    <x v="0"/>
    <n v="64"/>
    <x v="0"/>
    <x v="0"/>
  </r>
  <r>
    <n v="4"/>
    <x v="3"/>
    <x v="3"/>
    <s v="F"/>
    <n v="3"/>
    <d v="2025-04-03T00:00:00"/>
    <d v="2025-04-05T00:00:00"/>
    <n v="1"/>
    <n v="9783"/>
    <x v="2"/>
    <x v="0"/>
    <n v="2"/>
    <x v="1"/>
    <x v="0"/>
  </r>
  <r>
    <n v="5"/>
    <x v="4"/>
    <x v="4"/>
    <s v="F"/>
    <n v="9"/>
    <d v="2025-06-03T00:00:00"/>
    <d v="2025-06-04T00:00:00"/>
    <n v="1"/>
    <n v="5005"/>
    <x v="3"/>
    <x v="0"/>
    <n v="1"/>
    <x v="2"/>
    <x v="0"/>
  </r>
  <r>
    <n v="6"/>
    <x v="5"/>
    <x v="5"/>
    <s v="F"/>
    <n v="4"/>
    <d v="2025-03-31T00:00:00"/>
    <d v="2025-04-05T00:00:00"/>
    <n v="1"/>
    <n v="5281"/>
    <x v="4"/>
    <x v="0"/>
    <n v="5"/>
    <x v="0"/>
    <x v="0"/>
  </r>
  <r>
    <n v="7"/>
    <x v="6"/>
    <x v="6"/>
    <s v="F"/>
    <n v="1"/>
    <d v="2025-06-11T00:00:00"/>
    <d v="2025-07-05T00:00:00"/>
    <n v="2"/>
    <n v="2984"/>
    <x v="5"/>
    <x v="1"/>
    <n v="24"/>
    <x v="1"/>
    <x v="0"/>
  </r>
  <r>
    <n v="8"/>
    <x v="7"/>
    <x v="0"/>
    <s v="M"/>
    <n v="4"/>
    <d v="2025-04-25T00:00:00"/>
    <d v="2025-06-19T00:00:00"/>
    <n v="1"/>
    <n v="9136"/>
    <x v="4"/>
    <x v="0"/>
    <n v="55"/>
    <x v="2"/>
    <x v="0"/>
  </r>
  <r>
    <n v="9"/>
    <x v="8"/>
    <x v="7"/>
    <s v="F"/>
    <n v="1"/>
    <d v="2025-04-15T00:00:00"/>
    <d v="2025-04-17T00:00:00"/>
    <n v="2"/>
    <n v="9790"/>
    <x v="5"/>
    <x v="1"/>
    <n v="2"/>
    <x v="1"/>
    <x v="1"/>
  </r>
  <r>
    <n v="10"/>
    <x v="9"/>
    <x v="8"/>
    <s v="M"/>
    <n v="5"/>
    <d v="2025-05-15T00:00:00"/>
    <d v="2025-05-19T00:00:00"/>
    <n v="2"/>
    <n v="3639"/>
    <x v="6"/>
    <x v="1"/>
    <n v="4"/>
    <x v="1"/>
    <x v="0"/>
  </r>
  <r>
    <n v="11"/>
    <x v="10"/>
    <x v="9"/>
    <s v="M"/>
    <n v="4"/>
    <d v="2025-02-27T00:00:00"/>
    <d v="2025-04-18T00:00:00"/>
    <n v="3"/>
    <n v="2827"/>
    <x v="4"/>
    <x v="2"/>
    <n v="50"/>
    <x v="1"/>
    <x v="0"/>
  </r>
  <r>
    <n v="12"/>
    <x v="11"/>
    <x v="10"/>
    <s v="F"/>
    <n v="8"/>
    <d v="2025-04-24T00:00:00"/>
    <d v="2025-05-18T00:00:00"/>
    <n v="2"/>
    <n v="4730"/>
    <x v="7"/>
    <x v="1"/>
    <n v="24"/>
    <x v="1"/>
    <x v="0"/>
  </r>
  <r>
    <n v="13"/>
    <x v="12"/>
    <x v="10"/>
    <s v="F"/>
    <n v="8"/>
    <d v="2025-03-16T00:00:00"/>
    <d v="2025-06-07T00:00:00"/>
    <n v="3"/>
    <n v="5531"/>
    <x v="7"/>
    <x v="2"/>
    <n v="83"/>
    <x v="0"/>
    <x v="0"/>
  </r>
  <r>
    <n v="14"/>
    <x v="13"/>
    <x v="11"/>
    <s v="F"/>
    <n v="7"/>
    <d v="2025-06-06T00:00:00"/>
    <d v="2025-06-10T00:00:00"/>
    <n v="2"/>
    <n v="9147"/>
    <x v="8"/>
    <x v="1"/>
    <n v="4"/>
    <x v="1"/>
    <x v="0"/>
  </r>
  <r>
    <n v="15"/>
    <x v="14"/>
    <x v="12"/>
    <s v="F"/>
    <n v="3"/>
    <d v="2025-04-30T00:00:00"/>
    <d v="2025-05-03T00:00:00"/>
    <n v="2"/>
    <n v="6451"/>
    <x v="2"/>
    <x v="1"/>
    <n v="3"/>
    <x v="0"/>
    <x v="1"/>
  </r>
  <r>
    <n v="16"/>
    <x v="15"/>
    <x v="13"/>
    <s v="F"/>
    <n v="1"/>
    <d v="2025-06-13T00:00:00"/>
    <d v="2025-06-15T00:00:00"/>
    <n v="2"/>
    <n v="9151"/>
    <x v="5"/>
    <x v="1"/>
    <n v="2"/>
    <x v="2"/>
    <x v="0"/>
  </r>
  <r>
    <n v="17"/>
    <x v="16"/>
    <x v="14"/>
    <s v="F"/>
    <n v="1"/>
    <d v="2025-01-21T00:00:00"/>
    <d v="2025-05-22T00:00:00"/>
    <n v="3"/>
    <n v="7443"/>
    <x v="5"/>
    <x v="2"/>
    <n v="121"/>
    <x v="1"/>
    <x v="1"/>
  </r>
  <r>
    <n v="18"/>
    <x v="17"/>
    <x v="11"/>
    <s v="F"/>
    <n v="3"/>
    <d v="2025-06-13T00:00:00"/>
    <d v="2025-06-22T00:00:00"/>
    <n v="3"/>
    <n v="9300"/>
    <x v="2"/>
    <x v="2"/>
    <n v="9"/>
    <x v="0"/>
    <x v="0"/>
  </r>
  <r>
    <n v="19"/>
    <x v="18"/>
    <x v="15"/>
    <s v="F"/>
    <n v="6"/>
    <d v="2025-05-18T00:00:00"/>
    <d v="2025-05-20T00:00:00"/>
    <n v="1"/>
    <n v="4935"/>
    <x v="1"/>
    <x v="0"/>
    <n v="2"/>
    <x v="1"/>
    <x v="0"/>
  </r>
  <r>
    <n v="20"/>
    <x v="19"/>
    <x v="16"/>
    <s v="M"/>
    <n v="7"/>
    <d v="2025-04-11T00:00:00"/>
    <d v="2025-07-09T00:00:00"/>
    <n v="3"/>
    <n v="5876"/>
    <x v="8"/>
    <x v="2"/>
    <n v="89"/>
    <x v="1"/>
    <x v="0"/>
  </r>
  <r>
    <n v="21"/>
    <x v="20"/>
    <x v="12"/>
    <s v="F"/>
    <n v="6"/>
    <d v="2025-06-01T00:00:00"/>
    <d v="2025-06-11T00:00:00"/>
    <n v="3"/>
    <n v="7959"/>
    <x v="1"/>
    <x v="2"/>
    <n v="10"/>
    <x v="0"/>
    <x v="1"/>
  </r>
  <r>
    <n v="22"/>
    <x v="21"/>
    <x v="17"/>
    <s v="F"/>
    <n v="6"/>
    <d v="2025-06-26T00:00:00"/>
    <d v="2025-07-03T00:00:00"/>
    <n v="3"/>
    <n v="2126"/>
    <x v="1"/>
    <x v="2"/>
    <n v="7"/>
    <x v="1"/>
    <x v="0"/>
  </r>
  <r>
    <n v="23"/>
    <x v="22"/>
    <x v="11"/>
    <s v="M"/>
    <n v="6"/>
    <d v="2025-04-09T00:00:00"/>
    <d v="2025-06-23T00:00:00"/>
    <n v="3"/>
    <n v="5177"/>
    <x v="1"/>
    <x v="2"/>
    <n v="75"/>
    <x v="0"/>
    <x v="0"/>
  </r>
  <r>
    <n v="24"/>
    <x v="23"/>
    <x v="18"/>
    <s v="F"/>
    <n v="3"/>
    <d v="2025-02-05T00:00:00"/>
    <d v="2025-04-02T00:00:00"/>
    <n v="1"/>
    <n v="5056"/>
    <x v="2"/>
    <x v="0"/>
    <n v="56"/>
    <x v="1"/>
    <x v="0"/>
  </r>
  <r>
    <n v="25"/>
    <x v="24"/>
    <x v="19"/>
    <s v="M"/>
    <n v="6"/>
    <d v="2025-04-06T00:00:00"/>
    <d v="2025-06-03T00:00:00"/>
    <n v="3"/>
    <n v="2603"/>
    <x v="1"/>
    <x v="2"/>
    <n v="58"/>
    <x v="2"/>
    <x v="0"/>
  </r>
  <r>
    <n v="26"/>
    <x v="25"/>
    <x v="20"/>
    <s v="M"/>
    <n v="8"/>
    <d v="2025-06-01T00:00:00"/>
    <d v="2025-06-02T00:00:00"/>
    <n v="2"/>
    <n v="9966"/>
    <x v="7"/>
    <x v="1"/>
    <n v="1"/>
    <x v="1"/>
    <x v="1"/>
  </r>
  <r>
    <n v="27"/>
    <x v="26"/>
    <x v="17"/>
    <s v="F"/>
    <n v="2"/>
    <d v="2025-05-31T00:00:00"/>
    <d v="2025-06-01T00:00:00"/>
    <n v="2"/>
    <n v="5449"/>
    <x v="0"/>
    <x v="1"/>
    <n v="1"/>
    <x v="1"/>
    <x v="0"/>
  </r>
  <r>
    <n v="28"/>
    <x v="27"/>
    <x v="21"/>
    <s v="M"/>
    <n v="5"/>
    <d v="2025-02-06T00:00:00"/>
    <d v="2025-04-29T00:00:00"/>
    <n v="3"/>
    <n v="8024"/>
    <x v="6"/>
    <x v="2"/>
    <n v="82"/>
    <x v="0"/>
    <x v="1"/>
  </r>
  <r>
    <n v="29"/>
    <x v="28"/>
    <x v="6"/>
    <s v="M"/>
    <n v="1"/>
    <d v="2025-01-12T00:00:00"/>
    <d v="2025-01-14T00:00:00"/>
    <n v="3"/>
    <n v="7109"/>
    <x v="5"/>
    <x v="2"/>
    <n v="2"/>
    <x v="2"/>
    <x v="0"/>
  </r>
  <r>
    <n v="30"/>
    <x v="29"/>
    <x v="22"/>
    <s v="M"/>
    <n v="1"/>
    <d v="2025-04-23T00:00:00"/>
    <d v="2025-04-27T00:00:00"/>
    <n v="2"/>
    <n v="6146"/>
    <x v="5"/>
    <x v="1"/>
    <n v="4"/>
    <x v="0"/>
    <x v="0"/>
  </r>
  <r>
    <n v="31"/>
    <x v="30"/>
    <x v="23"/>
    <s v="M"/>
    <n v="5"/>
    <d v="2025-01-13T00:00:00"/>
    <d v="2025-07-01T00:00:00"/>
    <n v="2"/>
    <n v="9196"/>
    <x v="6"/>
    <x v="1"/>
    <n v="169"/>
    <x v="2"/>
    <x v="0"/>
  </r>
  <r>
    <n v="32"/>
    <x v="31"/>
    <x v="7"/>
    <s v="F"/>
    <n v="3"/>
    <d v="2025-01-23T00:00:00"/>
    <d v="2025-01-27T00:00:00"/>
    <n v="1"/>
    <n v="5533"/>
    <x v="2"/>
    <x v="0"/>
    <n v="4"/>
    <x v="2"/>
    <x v="0"/>
  </r>
  <r>
    <n v="33"/>
    <x v="32"/>
    <x v="16"/>
    <s v="M"/>
    <n v="4"/>
    <d v="2025-04-09T00:00:00"/>
    <d v="2025-05-02T00:00:00"/>
    <n v="2"/>
    <n v="5367"/>
    <x v="4"/>
    <x v="1"/>
    <n v="23"/>
    <x v="1"/>
    <x v="0"/>
  </r>
  <r>
    <n v="34"/>
    <x v="33"/>
    <x v="18"/>
    <s v="F"/>
    <n v="3"/>
    <d v="2025-04-15T00:00:00"/>
    <d v="2025-04-24T00:00:00"/>
    <n v="2"/>
    <n v="5368"/>
    <x v="2"/>
    <x v="1"/>
    <n v="9"/>
    <x v="2"/>
    <x v="1"/>
  </r>
  <r>
    <n v="35"/>
    <x v="34"/>
    <x v="24"/>
    <s v="M"/>
    <n v="1"/>
    <d v="2025-01-30T00:00:00"/>
    <d v="2025-02-12T00:00:00"/>
    <n v="3"/>
    <n v="5797"/>
    <x v="5"/>
    <x v="2"/>
    <n v="13"/>
    <x v="1"/>
    <x v="0"/>
  </r>
  <r>
    <n v="36"/>
    <x v="35"/>
    <x v="25"/>
    <s v="M"/>
    <n v="1"/>
    <d v="2025-01-17T00:00:00"/>
    <d v="2025-04-11T00:00:00"/>
    <n v="2"/>
    <n v="8922"/>
    <x v="5"/>
    <x v="1"/>
    <n v="84"/>
    <x v="1"/>
    <x v="1"/>
  </r>
  <r>
    <n v="37"/>
    <x v="36"/>
    <x v="26"/>
    <s v="M"/>
    <n v="5"/>
    <d v="2025-04-23T00:00:00"/>
    <d v="2025-05-03T00:00:00"/>
    <n v="1"/>
    <n v="7526"/>
    <x v="6"/>
    <x v="0"/>
    <n v="10"/>
    <x v="1"/>
    <x v="0"/>
  </r>
  <r>
    <n v="38"/>
    <x v="37"/>
    <x v="27"/>
    <s v="M"/>
    <n v="6"/>
    <d v="2025-03-03T00:00:00"/>
    <d v="2025-03-22T00:00:00"/>
    <n v="2"/>
    <n v="3792"/>
    <x v="1"/>
    <x v="1"/>
    <n v="19"/>
    <x v="0"/>
    <x v="1"/>
  </r>
  <r>
    <n v="39"/>
    <x v="38"/>
    <x v="28"/>
    <s v="F"/>
    <n v="3"/>
    <d v="2025-03-25T00:00:00"/>
    <d v="2025-03-26T00:00:00"/>
    <n v="3"/>
    <n v="4861"/>
    <x v="2"/>
    <x v="2"/>
    <n v="1"/>
    <x v="1"/>
    <x v="1"/>
  </r>
  <r>
    <n v="40"/>
    <x v="39"/>
    <x v="29"/>
    <s v="F"/>
    <n v="9"/>
    <d v="2025-04-22T00:00:00"/>
    <d v="2025-06-12T00:00:00"/>
    <n v="3"/>
    <n v="7732"/>
    <x v="3"/>
    <x v="2"/>
    <n v="51"/>
    <x v="1"/>
    <x v="0"/>
  </r>
  <r>
    <n v="41"/>
    <x v="40"/>
    <x v="21"/>
    <s v="M"/>
    <n v="5"/>
    <d v="2025-03-27T00:00:00"/>
    <d v="2025-06-20T00:00:00"/>
    <n v="2"/>
    <n v="5476"/>
    <x v="6"/>
    <x v="1"/>
    <n v="85"/>
    <x v="1"/>
    <x v="1"/>
  </r>
  <r>
    <n v="42"/>
    <x v="41"/>
    <x v="30"/>
    <s v="M"/>
    <n v="8"/>
    <d v="2025-05-21T00:00:00"/>
    <d v="2025-07-10T00:00:00"/>
    <n v="3"/>
    <n v="5417"/>
    <x v="7"/>
    <x v="2"/>
    <n v="50"/>
    <x v="1"/>
    <x v="0"/>
  </r>
  <r>
    <n v="43"/>
    <x v="42"/>
    <x v="3"/>
    <s v="F"/>
    <n v="1"/>
    <d v="2025-01-19T00:00:00"/>
    <d v="2025-05-07T00:00:00"/>
    <n v="1"/>
    <n v="3645"/>
    <x v="5"/>
    <x v="0"/>
    <n v="108"/>
    <x v="0"/>
    <x v="0"/>
  </r>
  <r>
    <n v="44"/>
    <x v="43"/>
    <x v="31"/>
    <s v="M"/>
    <n v="5"/>
    <d v="2025-06-26T00:00:00"/>
    <d v="2025-07-05T00:00:00"/>
    <n v="1"/>
    <n v="8563"/>
    <x v="6"/>
    <x v="0"/>
    <n v="9"/>
    <x v="1"/>
    <x v="0"/>
  </r>
  <r>
    <n v="45"/>
    <x v="44"/>
    <x v="32"/>
    <s v="M"/>
    <n v="3"/>
    <d v="2025-04-10T00:00:00"/>
    <d v="2025-05-12T00:00:00"/>
    <n v="2"/>
    <n v="3205"/>
    <x v="2"/>
    <x v="1"/>
    <n v="32"/>
    <x v="0"/>
    <x v="1"/>
  </r>
  <r>
    <n v="46"/>
    <x v="45"/>
    <x v="18"/>
    <s v="M"/>
    <n v="1"/>
    <d v="2025-05-20T00:00:00"/>
    <d v="2025-05-24T00:00:00"/>
    <n v="2"/>
    <n v="5030"/>
    <x v="5"/>
    <x v="1"/>
    <n v="4"/>
    <x v="2"/>
    <x v="1"/>
  </r>
  <r>
    <n v="47"/>
    <x v="46"/>
    <x v="33"/>
    <s v="F"/>
    <n v="4"/>
    <d v="2025-05-27T00:00:00"/>
    <d v="2025-06-05T00:00:00"/>
    <n v="2"/>
    <n v="4872"/>
    <x v="4"/>
    <x v="1"/>
    <n v="9"/>
    <x v="1"/>
    <x v="1"/>
  </r>
  <r>
    <n v="48"/>
    <x v="47"/>
    <x v="1"/>
    <s v="F"/>
    <n v="5"/>
    <d v="2025-03-17T00:00:00"/>
    <d v="2025-03-24T00:00:00"/>
    <n v="3"/>
    <n v="5072"/>
    <x v="6"/>
    <x v="2"/>
    <n v="7"/>
    <x v="0"/>
    <x v="1"/>
  </r>
  <r>
    <n v="49"/>
    <x v="48"/>
    <x v="34"/>
    <s v="F"/>
    <n v="7"/>
    <d v="2025-01-09T00:00:00"/>
    <d v="2025-05-22T00:00:00"/>
    <n v="1"/>
    <n v="3854"/>
    <x v="8"/>
    <x v="0"/>
    <n v="133"/>
    <x v="2"/>
    <x v="0"/>
  </r>
  <r>
    <n v="50"/>
    <x v="49"/>
    <x v="15"/>
    <s v="M"/>
    <n v="1"/>
    <d v="2025-01-28T00:00:00"/>
    <d v="2025-03-07T00:00:00"/>
    <n v="1"/>
    <n v="6021"/>
    <x v="5"/>
    <x v="0"/>
    <n v="38"/>
    <x v="0"/>
    <x v="0"/>
  </r>
  <r>
    <n v="51"/>
    <x v="50"/>
    <x v="35"/>
    <s v="M"/>
    <n v="3"/>
    <d v="2025-05-08T00:00:00"/>
    <d v="2025-06-03T00:00:00"/>
    <n v="3"/>
    <n v="6662"/>
    <x v="2"/>
    <x v="2"/>
    <n v="26"/>
    <x v="2"/>
    <x v="1"/>
  </r>
  <r>
    <n v="52"/>
    <x v="51"/>
    <x v="32"/>
    <s v="F"/>
    <n v="2"/>
    <d v="2025-02-21T00:00:00"/>
    <d v="2025-05-01T00:00:00"/>
    <n v="1"/>
    <n v="8514"/>
    <x v="0"/>
    <x v="0"/>
    <n v="69"/>
    <x v="0"/>
    <x v="0"/>
  </r>
  <r>
    <n v="53"/>
    <x v="52"/>
    <x v="36"/>
    <s v="F"/>
    <n v="9"/>
    <d v="2025-03-24T00:00:00"/>
    <d v="2025-03-28T00:00:00"/>
    <n v="2"/>
    <n v="7031"/>
    <x v="3"/>
    <x v="1"/>
    <n v="4"/>
    <x v="1"/>
    <x v="0"/>
  </r>
  <r>
    <n v="54"/>
    <x v="53"/>
    <x v="6"/>
    <s v="F"/>
    <n v="10"/>
    <d v="2025-04-21T00:00:00"/>
    <d v="2025-06-09T00:00:00"/>
    <n v="2"/>
    <n v="8030"/>
    <x v="9"/>
    <x v="1"/>
    <n v="49"/>
    <x v="1"/>
    <x v="0"/>
  </r>
  <r>
    <n v="55"/>
    <x v="54"/>
    <x v="37"/>
    <s v="F"/>
    <n v="6"/>
    <d v="2025-05-24T00:00:00"/>
    <d v="2025-06-01T00:00:00"/>
    <n v="2"/>
    <n v="4708"/>
    <x v="1"/>
    <x v="1"/>
    <n v="8"/>
    <x v="1"/>
    <x v="0"/>
  </r>
  <r>
    <n v="56"/>
    <x v="55"/>
    <x v="0"/>
    <s v="M"/>
    <n v="10"/>
    <d v="2025-04-27T00:00:00"/>
    <d v="2025-05-31T00:00:00"/>
    <n v="1"/>
    <n v="5502"/>
    <x v="9"/>
    <x v="0"/>
    <n v="34"/>
    <x v="1"/>
    <x v="0"/>
  </r>
  <r>
    <n v="57"/>
    <x v="56"/>
    <x v="38"/>
    <s v="F"/>
    <n v="3"/>
    <d v="2025-03-10T00:00:00"/>
    <d v="2025-03-16T00:00:00"/>
    <n v="2"/>
    <n v="9112"/>
    <x v="2"/>
    <x v="1"/>
    <n v="6"/>
    <x v="1"/>
    <x v="0"/>
  </r>
  <r>
    <n v="58"/>
    <x v="57"/>
    <x v="39"/>
    <s v="M"/>
    <n v="8"/>
    <d v="2025-04-09T00:00:00"/>
    <d v="2025-04-19T00:00:00"/>
    <n v="3"/>
    <n v="3332"/>
    <x v="7"/>
    <x v="2"/>
    <n v="10"/>
    <x v="0"/>
    <x v="0"/>
  </r>
  <r>
    <n v="59"/>
    <x v="58"/>
    <x v="24"/>
    <s v="F"/>
    <n v="8"/>
    <d v="2025-05-20T00:00:00"/>
    <d v="2025-07-07T00:00:00"/>
    <n v="3"/>
    <n v="9304"/>
    <x v="7"/>
    <x v="2"/>
    <n v="48"/>
    <x v="1"/>
    <x v="0"/>
  </r>
  <r>
    <n v="60"/>
    <x v="59"/>
    <x v="21"/>
    <s v="M"/>
    <n v="2"/>
    <d v="2025-01-25T00:00:00"/>
    <d v="2025-04-22T00:00:00"/>
    <n v="1"/>
    <n v="2201"/>
    <x v="0"/>
    <x v="0"/>
    <n v="87"/>
    <x v="0"/>
    <x v="0"/>
  </r>
  <r>
    <n v="61"/>
    <x v="60"/>
    <x v="40"/>
    <s v="F"/>
    <n v="6"/>
    <d v="2025-06-29T00:00:00"/>
    <d v="2025-07-04T00:00:00"/>
    <n v="3"/>
    <n v="5507"/>
    <x v="1"/>
    <x v="2"/>
    <n v="5"/>
    <x v="1"/>
    <x v="0"/>
  </r>
  <r>
    <n v="62"/>
    <x v="61"/>
    <x v="41"/>
    <s v="F"/>
    <n v="7"/>
    <d v="2025-05-03T00:00:00"/>
    <d v="2025-05-04T00:00:00"/>
    <n v="3"/>
    <n v="8456"/>
    <x v="8"/>
    <x v="2"/>
    <n v="1"/>
    <x v="2"/>
    <x v="1"/>
  </r>
  <r>
    <n v="63"/>
    <x v="62"/>
    <x v="7"/>
    <s v="F"/>
    <n v="2"/>
    <d v="2025-02-22T00:00:00"/>
    <d v="2025-02-28T00:00:00"/>
    <n v="1"/>
    <n v="6212"/>
    <x v="0"/>
    <x v="0"/>
    <n v="6"/>
    <x v="0"/>
    <x v="0"/>
  </r>
  <r>
    <n v="64"/>
    <x v="63"/>
    <x v="37"/>
    <s v="F"/>
    <n v="10"/>
    <d v="2025-05-31T00:00:00"/>
    <d v="2025-06-03T00:00:00"/>
    <n v="2"/>
    <n v="9833"/>
    <x v="9"/>
    <x v="1"/>
    <n v="3"/>
    <x v="2"/>
    <x v="0"/>
  </r>
  <r>
    <n v="65"/>
    <x v="64"/>
    <x v="42"/>
    <s v="M"/>
    <n v="2"/>
    <d v="2025-05-24T00:00:00"/>
    <d v="2025-05-31T00:00:00"/>
    <n v="2"/>
    <n v="7032"/>
    <x v="0"/>
    <x v="1"/>
    <n v="7"/>
    <x v="0"/>
    <x v="0"/>
  </r>
  <r>
    <n v="66"/>
    <x v="65"/>
    <x v="12"/>
    <s v="F"/>
    <n v="10"/>
    <d v="2025-02-26T00:00:00"/>
    <d v="2025-03-04T00:00:00"/>
    <n v="2"/>
    <n v="9970"/>
    <x v="9"/>
    <x v="1"/>
    <n v="6"/>
    <x v="0"/>
    <x v="1"/>
  </r>
  <r>
    <n v="67"/>
    <x v="66"/>
    <x v="17"/>
    <s v="M"/>
    <n v="1"/>
    <d v="2025-02-08T00:00:00"/>
    <d v="2025-03-29T00:00:00"/>
    <n v="1"/>
    <n v="2574"/>
    <x v="5"/>
    <x v="0"/>
    <n v="49"/>
    <x v="0"/>
    <x v="0"/>
  </r>
  <r>
    <n v="68"/>
    <x v="67"/>
    <x v="43"/>
    <s v="M"/>
    <n v="8"/>
    <d v="2025-04-19T00:00:00"/>
    <d v="2025-04-24T00:00:00"/>
    <n v="3"/>
    <n v="8387"/>
    <x v="7"/>
    <x v="2"/>
    <n v="5"/>
    <x v="0"/>
    <x v="0"/>
  </r>
  <r>
    <n v="69"/>
    <x v="68"/>
    <x v="29"/>
    <s v="M"/>
    <n v="1"/>
    <d v="2025-06-30T00:00:00"/>
    <d v="2025-07-07T00:00:00"/>
    <n v="2"/>
    <n v="2536"/>
    <x v="5"/>
    <x v="1"/>
    <n v="7"/>
    <x v="2"/>
    <x v="0"/>
  </r>
  <r>
    <n v="70"/>
    <x v="69"/>
    <x v="31"/>
    <s v="M"/>
    <n v="9"/>
    <d v="2025-02-11T00:00:00"/>
    <d v="2025-03-02T00:00:00"/>
    <n v="2"/>
    <n v="3625"/>
    <x v="3"/>
    <x v="1"/>
    <n v="19"/>
    <x v="2"/>
    <x v="1"/>
  </r>
  <r>
    <n v="71"/>
    <x v="70"/>
    <x v="21"/>
    <s v="F"/>
    <n v="6"/>
    <d v="2025-06-16T00:00:00"/>
    <d v="2025-06-24T00:00:00"/>
    <n v="1"/>
    <n v="4122"/>
    <x v="1"/>
    <x v="0"/>
    <n v="8"/>
    <x v="0"/>
    <x v="0"/>
  </r>
  <r>
    <n v="72"/>
    <x v="71"/>
    <x v="36"/>
    <s v="M"/>
    <n v="7"/>
    <d v="2025-05-22T00:00:00"/>
    <d v="2025-05-25T00:00:00"/>
    <n v="2"/>
    <n v="9973"/>
    <x v="8"/>
    <x v="1"/>
    <n v="3"/>
    <x v="1"/>
    <x v="0"/>
  </r>
  <r>
    <n v="73"/>
    <x v="72"/>
    <x v="18"/>
    <s v="M"/>
    <n v="10"/>
    <d v="2025-05-02T00:00:00"/>
    <d v="2025-05-06T00:00:00"/>
    <n v="1"/>
    <n v="2385"/>
    <x v="9"/>
    <x v="0"/>
    <n v="4"/>
    <x v="2"/>
    <x v="0"/>
  </r>
  <r>
    <n v="74"/>
    <x v="73"/>
    <x v="5"/>
    <s v="M"/>
    <n v="7"/>
    <d v="2025-05-13T00:00:00"/>
    <d v="2025-05-19T00:00:00"/>
    <n v="3"/>
    <n v="5281"/>
    <x v="8"/>
    <x v="2"/>
    <n v="6"/>
    <x v="1"/>
    <x v="0"/>
  </r>
  <r>
    <n v="75"/>
    <x v="74"/>
    <x v="31"/>
    <s v="F"/>
    <n v="10"/>
    <d v="2025-06-12T00:00:00"/>
    <d v="2025-06-14T00:00:00"/>
    <n v="1"/>
    <n v="2474"/>
    <x v="9"/>
    <x v="0"/>
    <n v="2"/>
    <x v="1"/>
    <x v="0"/>
  </r>
  <r>
    <n v="76"/>
    <x v="75"/>
    <x v="44"/>
    <s v="F"/>
    <n v="3"/>
    <d v="2025-03-16T00:00:00"/>
    <d v="2025-03-31T00:00:00"/>
    <n v="1"/>
    <n v="2417"/>
    <x v="2"/>
    <x v="0"/>
    <n v="15"/>
    <x v="2"/>
    <x v="0"/>
  </r>
  <r>
    <n v="77"/>
    <x v="76"/>
    <x v="40"/>
    <s v="F"/>
    <n v="2"/>
    <d v="2025-05-26T00:00:00"/>
    <d v="2025-05-28T00:00:00"/>
    <n v="1"/>
    <n v="8490"/>
    <x v="0"/>
    <x v="0"/>
    <n v="2"/>
    <x v="0"/>
    <x v="0"/>
  </r>
  <r>
    <n v="78"/>
    <x v="77"/>
    <x v="45"/>
    <s v="F"/>
    <n v="9"/>
    <d v="2025-03-17T00:00:00"/>
    <d v="2025-03-24T00:00:00"/>
    <n v="1"/>
    <n v="5600"/>
    <x v="3"/>
    <x v="0"/>
    <n v="7"/>
    <x v="0"/>
    <x v="0"/>
  </r>
  <r>
    <n v="79"/>
    <x v="78"/>
    <x v="13"/>
    <s v="M"/>
    <n v="8"/>
    <d v="2025-01-09T00:00:00"/>
    <d v="2025-05-21T00:00:00"/>
    <n v="3"/>
    <n v="8783"/>
    <x v="7"/>
    <x v="2"/>
    <n v="132"/>
    <x v="1"/>
    <x v="0"/>
  </r>
  <r>
    <n v="80"/>
    <x v="79"/>
    <x v="41"/>
    <s v="M"/>
    <n v="10"/>
    <d v="2025-03-15T00:00:00"/>
    <d v="2025-05-27T00:00:00"/>
    <n v="3"/>
    <n v="7034"/>
    <x v="9"/>
    <x v="2"/>
    <n v="73"/>
    <x v="2"/>
    <x v="1"/>
  </r>
  <r>
    <n v="81"/>
    <x v="80"/>
    <x v="14"/>
    <s v="F"/>
    <n v="7"/>
    <d v="2025-05-25T00:00:00"/>
    <d v="2025-06-03T00:00:00"/>
    <n v="2"/>
    <n v="2954"/>
    <x v="8"/>
    <x v="1"/>
    <n v="9"/>
    <x v="1"/>
    <x v="1"/>
  </r>
  <r>
    <n v="82"/>
    <x v="81"/>
    <x v="39"/>
    <s v="M"/>
    <n v="9"/>
    <d v="2025-01-07T00:00:00"/>
    <d v="2025-03-24T00:00:00"/>
    <n v="3"/>
    <n v="6971"/>
    <x v="3"/>
    <x v="2"/>
    <n v="76"/>
    <x v="1"/>
    <x v="0"/>
  </r>
  <r>
    <n v="83"/>
    <x v="82"/>
    <x v="17"/>
    <s v="M"/>
    <n v="4"/>
    <d v="2025-06-23T00:00:00"/>
    <d v="2025-06-25T00:00:00"/>
    <n v="3"/>
    <n v="6858"/>
    <x v="4"/>
    <x v="2"/>
    <n v="2"/>
    <x v="2"/>
    <x v="0"/>
  </r>
  <r>
    <n v="84"/>
    <x v="83"/>
    <x v="46"/>
    <s v="M"/>
    <n v="4"/>
    <d v="2025-05-21T00:00:00"/>
    <d v="2025-05-27T00:00:00"/>
    <n v="2"/>
    <n v="7298"/>
    <x v="4"/>
    <x v="1"/>
    <n v="6"/>
    <x v="0"/>
    <x v="0"/>
  </r>
  <r>
    <n v="85"/>
    <x v="84"/>
    <x v="47"/>
    <s v="F"/>
    <n v="1"/>
    <d v="2025-06-17T00:00:00"/>
    <d v="2025-06-23T00:00:00"/>
    <n v="3"/>
    <n v="3205"/>
    <x v="5"/>
    <x v="2"/>
    <n v="6"/>
    <x v="1"/>
    <x v="1"/>
  </r>
  <r>
    <n v="86"/>
    <x v="85"/>
    <x v="28"/>
    <s v="F"/>
    <n v="8"/>
    <d v="2025-06-19T00:00:00"/>
    <d v="2025-06-29T00:00:00"/>
    <n v="1"/>
    <n v="6759"/>
    <x v="7"/>
    <x v="0"/>
    <n v="10"/>
    <x v="2"/>
    <x v="0"/>
  </r>
  <r>
    <n v="87"/>
    <x v="86"/>
    <x v="39"/>
    <s v="M"/>
    <n v="3"/>
    <d v="2025-05-17T00:00:00"/>
    <d v="2025-05-22T00:00:00"/>
    <n v="1"/>
    <n v="6120"/>
    <x v="2"/>
    <x v="0"/>
    <n v="5"/>
    <x v="2"/>
    <x v="0"/>
  </r>
  <r>
    <n v="88"/>
    <x v="87"/>
    <x v="47"/>
    <s v="F"/>
    <n v="7"/>
    <d v="2025-06-27T00:00:00"/>
    <d v="2025-06-28T00:00:00"/>
    <n v="2"/>
    <n v="3990"/>
    <x v="8"/>
    <x v="1"/>
    <n v="1"/>
    <x v="0"/>
    <x v="1"/>
  </r>
  <r>
    <n v="89"/>
    <x v="88"/>
    <x v="2"/>
    <s v="F"/>
    <n v="2"/>
    <d v="2025-01-27T00:00:00"/>
    <d v="2025-05-15T00:00:00"/>
    <n v="2"/>
    <n v="7299"/>
    <x v="0"/>
    <x v="1"/>
    <n v="108"/>
    <x v="1"/>
    <x v="0"/>
  </r>
  <r>
    <n v="90"/>
    <x v="89"/>
    <x v="38"/>
    <s v="F"/>
    <n v="2"/>
    <d v="2025-05-02T00:00:00"/>
    <d v="2025-05-10T00:00:00"/>
    <n v="2"/>
    <n v="6805"/>
    <x v="0"/>
    <x v="1"/>
    <n v="8"/>
    <x v="0"/>
    <x v="0"/>
  </r>
  <r>
    <n v="91"/>
    <x v="90"/>
    <x v="42"/>
    <s v="F"/>
    <n v="7"/>
    <d v="2025-01-05T00:00:00"/>
    <d v="2025-05-04T00:00:00"/>
    <n v="1"/>
    <n v="5572"/>
    <x v="8"/>
    <x v="0"/>
    <n v="119"/>
    <x v="0"/>
    <x v="0"/>
  </r>
  <r>
    <n v="92"/>
    <x v="91"/>
    <x v="18"/>
    <s v="F"/>
    <n v="6"/>
    <d v="2025-01-29T00:00:00"/>
    <d v="2025-04-30T00:00:00"/>
    <n v="3"/>
    <n v="7975"/>
    <x v="1"/>
    <x v="2"/>
    <n v="91"/>
    <x v="0"/>
    <x v="1"/>
  </r>
  <r>
    <n v="93"/>
    <x v="92"/>
    <x v="48"/>
    <s v="M"/>
    <n v="3"/>
    <d v="2025-06-14T00:00:00"/>
    <d v="2025-06-23T00:00:00"/>
    <n v="1"/>
    <n v="7280"/>
    <x v="2"/>
    <x v="0"/>
    <n v="9"/>
    <x v="0"/>
    <x v="0"/>
  </r>
  <r>
    <n v="94"/>
    <x v="93"/>
    <x v="49"/>
    <s v="F"/>
    <n v="9"/>
    <d v="2025-06-15T00:00:00"/>
    <d v="2025-06-17T00:00:00"/>
    <n v="2"/>
    <n v="8320"/>
    <x v="3"/>
    <x v="1"/>
    <n v="2"/>
    <x v="0"/>
    <x v="0"/>
  </r>
  <r>
    <n v="95"/>
    <x v="94"/>
    <x v="13"/>
    <s v="M"/>
    <n v="10"/>
    <d v="2025-03-24T00:00:00"/>
    <d v="2025-04-14T00:00:00"/>
    <n v="3"/>
    <n v="6380"/>
    <x v="9"/>
    <x v="2"/>
    <n v="21"/>
    <x v="0"/>
    <x v="0"/>
  </r>
  <r>
    <n v="96"/>
    <x v="95"/>
    <x v="40"/>
    <s v="M"/>
    <n v="6"/>
    <d v="2025-05-16T00:00:00"/>
    <d v="2025-05-23T00:00:00"/>
    <n v="3"/>
    <n v="6158"/>
    <x v="1"/>
    <x v="2"/>
    <n v="7"/>
    <x v="0"/>
    <x v="0"/>
  </r>
  <r>
    <n v="97"/>
    <x v="96"/>
    <x v="50"/>
    <s v="F"/>
    <n v="10"/>
    <d v="2025-04-19T00:00:00"/>
    <d v="2025-06-02T00:00:00"/>
    <n v="1"/>
    <n v="7098"/>
    <x v="9"/>
    <x v="0"/>
    <n v="44"/>
    <x v="0"/>
    <x v="0"/>
  </r>
  <r>
    <n v="98"/>
    <x v="97"/>
    <x v="51"/>
    <s v="M"/>
    <n v="10"/>
    <d v="2025-03-06T00:00:00"/>
    <d v="2025-03-08T00:00:00"/>
    <n v="2"/>
    <n v="6757"/>
    <x v="9"/>
    <x v="1"/>
    <n v="2"/>
    <x v="2"/>
    <x v="1"/>
  </r>
  <r>
    <n v="99"/>
    <x v="98"/>
    <x v="3"/>
    <s v="M"/>
    <n v="6"/>
    <d v="2025-03-27T00:00:00"/>
    <d v="2025-05-21T00:00:00"/>
    <n v="1"/>
    <n v="4713"/>
    <x v="1"/>
    <x v="0"/>
    <n v="55"/>
    <x v="1"/>
    <x v="0"/>
  </r>
  <r>
    <n v="100"/>
    <x v="99"/>
    <x v="5"/>
    <s v="M"/>
    <n v="1"/>
    <d v="2025-05-25T00:00:00"/>
    <d v="2025-06-03T00:00:00"/>
    <n v="3"/>
    <n v="4203"/>
    <x v="5"/>
    <x v="2"/>
    <n v="9"/>
    <x v="1"/>
    <x v="0"/>
  </r>
  <r>
    <n v="101"/>
    <x v="100"/>
    <x v="40"/>
    <s v="F"/>
    <n v="4"/>
    <d v="2025-03-12T00:00:00"/>
    <d v="2025-05-21T00:00:00"/>
    <n v="1"/>
    <n v="7588"/>
    <x v="4"/>
    <x v="0"/>
    <n v="70"/>
    <x v="1"/>
    <x v="0"/>
  </r>
  <r>
    <n v="102"/>
    <x v="101"/>
    <x v="9"/>
    <s v="F"/>
    <n v="10"/>
    <d v="2025-02-14T00:00:00"/>
    <d v="2025-02-19T00:00:00"/>
    <n v="1"/>
    <n v="5120"/>
    <x v="9"/>
    <x v="0"/>
    <n v="5"/>
    <x v="1"/>
    <x v="0"/>
  </r>
  <r>
    <n v="103"/>
    <x v="102"/>
    <x v="21"/>
    <s v="M"/>
    <n v="6"/>
    <d v="2025-05-12T00:00:00"/>
    <d v="2025-05-22T00:00:00"/>
    <n v="2"/>
    <n v="2966"/>
    <x v="1"/>
    <x v="1"/>
    <n v="10"/>
    <x v="1"/>
    <x v="1"/>
  </r>
  <r>
    <n v="104"/>
    <x v="103"/>
    <x v="34"/>
    <s v="F"/>
    <n v="6"/>
    <d v="2025-02-05T00:00:00"/>
    <d v="2025-06-13T00:00:00"/>
    <n v="2"/>
    <n v="6944"/>
    <x v="1"/>
    <x v="1"/>
    <n v="128"/>
    <x v="1"/>
    <x v="1"/>
  </r>
  <r>
    <n v="105"/>
    <x v="104"/>
    <x v="14"/>
    <s v="F"/>
    <n v="5"/>
    <d v="2025-03-11T00:00:00"/>
    <d v="2025-04-12T00:00:00"/>
    <n v="3"/>
    <n v="7203"/>
    <x v="6"/>
    <x v="2"/>
    <n v="32"/>
    <x v="0"/>
    <x v="1"/>
  </r>
  <r>
    <n v="106"/>
    <x v="105"/>
    <x v="6"/>
    <s v="F"/>
    <n v="1"/>
    <d v="2025-06-08T00:00:00"/>
    <d v="2025-06-18T00:00:00"/>
    <n v="1"/>
    <n v="5432"/>
    <x v="5"/>
    <x v="0"/>
    <n v="10"/>
    <x v="1"/>
    <x v="0"/>
  </r>
  <r>
    <n v="107"/>
    <x v="106"/>
    <x v="30"/>
    <s v="F"/>
    <n v="8"/>
    <d v="2025-01-19T00:00:00"/>
    <d v="2025-07-06T00:00:00"/>
    <n v="1"/>
    <n v="2688"/>
    <x v="7"/>
    <x v="0"/>
    <n v="168"/>
    <x v="2"/>
    <x v="0"/>
  </r>
  <r>
    <n v="108"/>
    <x v="107"/>
    <x v="52"/>
    <s v="M"/>
    <n v="5"/>
    <d v="2025-04-18T00:00:00"/>
    <d v="2025-04-24T00:00:00"/>
    <n v="1"/>
    <n v="6243"/>
    <x v="6"/>
    <x v="0"/>
    <n v="6"/>
    <x v="1"/>
    <x v="0"/>
  </r>
  <r>
    <n v="109"/>
    <x v="108"/>
    <x v="38"/>
    <s v="M"/>
    <n v="5"/>
    <d v="2025-06-16T00:00:00"/>
    <d v="2025-06-26T00:00:00"/>
    <n v="3"/>
    <n v="5701"/>
    <x v="6"/>
    <x v="2"/>
    <n v="10"/>
    <x v="2"/>
    <x v="0"/>
  </r>
  <r>
    <n v="110"/>
    <x v="109"/>
    <x v="31"/>
    <s v="F"/>
    <n v="7"/>
    <d v="2025-04-01T00:00:00"/>
    <d v="2025-04-05T00:00:00"/>
    <n v="3"/>
    <n v="2341"/>
    <x v="8"/>
    <x v="2"/>
    <n v="4"/>
    <x v="0"/>
    <x v="1"/>
  </r>
  <r>
    <n v="111"/>
    <x v="110"/>
    <x v="12"/>
    <s v="F"/>
    <n v="4"/>
    <d v="2025-03-31T00:00:00"/>
    <d v="2025-06-05T00:00:00"/>
    <n v="2"/>
    <n v="8619"/>
    <x v="4"/>
    <x v="1"/>
    <n v="66"/>
    <x v="2"/>
    <x v="1"/>
  </r>
  <r>
    <n v="112"/>
    <x v="111"/>
    <x v="11"/>
    <s v="M"/>
    <n v="6"/>
    <d v="2025-01-19T00:00:00"/>
    <d v="2025-01-30T00:00:00"/>
    <n v="2"/>
    <n v="7182"/>
    <x v="1"/>
    <x v="1"/>
    <n v="11"/>
    <x v="1"/>
    <x v="0"/>
  </r>
  <r>
    <n v="113"/>
    <x v="112"/>
    <x v="42"/>
    <s v="M"/>
    <n v="4"/>
    <d v="2025-02-08T00:00:00"/>
    <d v="2025-02-10T00:00:00"/>
    <n v="2"/>
    <n v="3724"/>
    <x v="4"/>
    <x v="1"/>
    <n v="2"/>
    <x v="1"/>
    <x v="0"/>
  </r>
  <r>
    <n v="114"/>
    <x v="113"/>
    <x v="24"/>
    <s v="F"/>
    <n v="3"/>
    <d v="2025-05-06T00:00:00"/>
    <d v="2025-05-07T00:00:00"/>
    <n v="1"/>
    <n v="7479"/>
    <x v="2"/>
    <x v="0"/>
    <n v="1"/>
    <x v="2"/>
    <x v="0"/>
  </r>
  <r>
    <n v="115"/>
    <x v="114"/>
    <x v="21"/>
    <s v="M"/>
    <n v="7"/>
    <d v="2025-06-22T00:00:00"/>
    <d v="2025-06-28T00:00:00"/>
    <n v="1"/>
    <n v="8704"/>
    <x v="8"/>
    <x v="0"/>
    <n v="6"/>
    <x v="1"/>
    <x v="0"/>
  </r>
  <r>
    <n v="116"/>
    <x v="115"/>
    <x v="21"/>
    <s v="F"/>
    <n v="8"/>
    <d v="2025-05-21T00:00:00"/>
    <d v="2025-05-25T00:00:00"/>
    <n v="2"/>
    <n v="6422"/>
    <x v="7"/>
    <x v="1"/>
    <n v="4"/>
    <x v="1"/>
    <x v="1"/>
  </r>
  <r>
    <n v="117"/>
    <x v="116"/>
    <x v="21"/>
    <s v="F"/>
    <n v="4"/>
    <d v="2025-05-06T00:00:00"/>
    <d v="2025-05-11T00:00:00"/>
    <n v="1"/>
    <n v="3792"/>
    <x v="4"/>
    <x v="0"/>
    <n v="5"/>
    <x v="1"/>
    <x v="0"/>
  </r>
  <r>
    <n v="118"/>
    <x v="117"/>
    <x v="52"/>
    <s v="M"/>
    <n v="2"/>
    <d v="2025-02-27T00:00:00"/>
    <d v="2025-06-07T00:00:00"/>
    <n v="2"/>
    <n v="3759"/>
    <x v="0"/>
    <x v="1"/>
    <n v="100"/>
    <x v="1"/>
    <x v="1"/>
  </r>
  <r>
    <n v="119"/>
    <x v="118"/>
    <x v="53"/>
    <s v="M"/>
    <n v="10"/>
    <d v="2025-05-28T00:00:00"/>
    <d v="2025-05-30T00:00:00"/>
    <n v="3"/>
    <n v="5212"/>
    <x v="9"/>
    <x v="2"/>
    <n v="2"/>
    <x v="2"/>
    <x v="1"/>
  </r>
  <r>
    <n v="120"/>
    <x v="119"/>
    <x v="2"/>
    <s v="F"/>
    <n v="3"/>
    <d v="2025-03-02T00:00:00"/>
    <d v="2025-03-06T00:00:00"/>
    <n v="2"/>
    <n v="2989"/>
    <x v="2"/>
    <x v="1"/>
    <n v="4"/>
    <x v="2"/>
    <x v="0"/>
  </r>
  <r>
    <n v="121"/>
    <x v="120"/>
    <x v="3"/>
    <s v="F"/>
    <n v="1"/>
    <d v="2025-05-07T00:00:00"/>
    <d v="2025-05-22T00:00:00"/>
    <n v="3"/>
    <n v="4262"/>
    <x v="5"/>
    <x v="2"/>
    <n v="15"/>
    <x v="0"/>
    <x v="0"/>
  </r>
  <r>
    <n v="122"/>
    <x v="121"/>
    <x v="52"/>
    <s v="M"/>
    <n v="8"/>
    <d v="2025-04-15T00:00:00"/>
    <d v="2025-04-17T00:00:00"/>
    <n v="1"/>
    <n v="4482"/>
    <x v="7"/>
    <x v="0"/>
    <n v="2"/>
    <x v="2"/>
    <x v="0"/>
  </r>
  <r>
    <n v="123"/>
    <x v="122"/>
    <x v="54"/>
    <s v="F"/>
    <n v="3"/>
    <d v="2025-06-16T00:00:00"/>
    <d v="2025-06-23T00:00:00"/>
    <n v="2"/>
    <n v="2951"/>
    <x v="2"/>
    <x v="1"/>
    <n v="7"/>
    <x v="0"/>
    <x v="0"/>
  </r>
  <r>
    <n v="124"/>
    <x v="123"/>
    <x v="24"/>
    <s v="M"/>
    <n v="10"/>
    <d v="2025-01-01T00:00:00"/>
    <d v="2025-02-24T00:00:00"/>
    <n v="1"/>
    <n v="2722"/>
    <x v="9"/>
    <x v="0"/>
    <n v="54"/>
    <x v="0"/>
    <x v="0"/>
  </r>
  <r>
    <n v="125"/>
    <x v="124"/>
    <x v="36"/>
    <s v="F"/>
    <n v="7"/>
    <d v="2025-05-11T00:00:00"/>
    <d v="2025-05-16T00:00:00"/>
    <n v="3"/>
    <n v="5389"/>
    <x v="8"/>
    <x v="2"/>
    <n v="5"/>
    <x v="1"/>
    <x v="0"/>
  </r>
  <r>
    <n v="126"/>
    <x v="125"/>
    <x v="37"/>
    <s v="M"/>
    <n v="10"/>
    <d v="2025-04-02T00:00:00"/>
    <d v="2025-07-05T00:00:00"/>
    <n v="3"/>
    <n v="4079"/>
    <x v="9"/>
    <x v="2"/>
    <n v="94"/>
    <x v="0"/>
    <x v="0"/>
  </r>
  <r>
    <n v="127"/>
    <x v="126"/>
    <x v="11"/>
    <s v="M"/>
    <n v="5"/>
    <d v="2025-04-23T00:00:00"/>
    <d v="2025-05-01T00:00:00"/>
    <n v="3"/>
    <n v="4717"/>
    <x v="6"/>
    <x v="2"/>
    <n v="8"/>
    <x v="0"/>
    <x v="0"/>
  </r>
  <r>
    <n v="128"/>
    <x v="127"/>
    <x v="54"/>
    <s v="M"/>
    <n v="10"/>
    <d v="2025-06-02T00:00:00"/>
    <d v="2025-06-08T00:00:00"/>
    <n v="1"/>
    <n v="4332"/>
    <x v="9"/>
    <x v="0"/>
    <n v="6"/>
    <x v="2"/>
    <x v="0"/>
  </r>
  <r>
    <n v="129"/>
    <x v="128"/>
    <x v="18"/>
    <s v="F"/>
    <n v="5"/>
    <d v="2025-02-25T00:00:00"/>
    <d v="2025-06-13T00:00:00"/>
    <n v="1"/>
    <n v="5376"/>
    <x v="6"/>
    <x v="0"/>
    <n v="108"/>
    <x v="2"/>
    <x v="0"/>
  </r>
  <r>
    <n v="130"/>
    <x v="129"/>
    <x v="5"/>
    <s v="F"/>
    <n v="7"/>
    <d v="2025-06-10T00:00:00"/>
    <d v="2025-06-13T00:00:00"/>
    <n v="1"/>
    <n v="6524"/>
    <x v="8"/>
    <x v="0"/>
    <n v="3"/>
    <x v="1"/>
    <x v="0"/>
  </r>
  <r>
    <n v="131"/>
    <x v="130"/>
    <x v="11"/>
    <s v="M"/>
    <n v="9"/>
    <d v="2025-06-15T00:00:00"/>
    <d v="2025-06-21T00:00:00"/>
    <n v="1"/>
    <n v="3500"/>
    <x v="3"/>
    <x v="0"/>
    <n v="6"/>
    <x v="1"/>
    <x v="0"/>
  </r>
  <r>
    <n v="132"/>
    <x v="131"/>
    <x v="10"/>
    <s v="F"/>
    <n v="5"/>
    <d v="2025-04-27T00:00:00"/>
    <d v="2025-05-03T00:00:00"/>
    <n v="3"/>
    <n v="2285"/>
    <x v="6"/>
    <x v="2"/>
    <n v="6"/>
    <x v="0"/>
    <x v="0"/>
  </r>
  <r>
    <n v="133"/>
    <x v="132"/>
    <x v="32"/>
    <s v="M"/>
    <n v="1"/>
    <d v="2025-05-14T00:00:00"/>
    <d v="2025-05-18T00:00:00"/>
    <n v="3"/>
    <n v="9311"/>
    <x v="5"/>
    <x v="2"/>
    <n v="4"/>
    <x v="0"/>
    <x v="1"/>
  </r>
  <r>
    <n v="134"/>
    <x v="133"/>
    <x v="45"/>
    <s v="M"/>
    <n v="10"/>
    <d v="2025-02-27T00:00:00"/>
    <d v="2025-03-06T00:00:00"/>
    <n v="2"/>
    <n v="5495"/>
    <x v="9"/>
    <x v="1"/>
    <n v="7"/>
    <x v="1"/>
    <x v="0"/>
  </r>
  <r>
    <n v="135"/>
    <x v="134"/>
    <x v="5"/>
    <s v="F"/>
    <n v="10"/>
    <d v="2025-02-13T00:00:00"/>
    <d v="2025-04-13T00:00:00"/>
    <n v="2"/>
    <n v="9186"/>
    <x v="9"/>
    <x v="1"/>
    <n v="59"/>
    <x v="1"/>
    <x v="0"/>
  </r>
  <r>
    <n v="136"/>
    <x v="135"/>
    <x v="44"/>
    <s v="F"/>
    <n v="1"/>
    <d v="2025-06-22T00:00:00"/>
    <d v="2025-06-27T00:00:00"/>
    <n v="1"/>
    <n v="4065"/>
    <x v="5"/>
    <x v="0"/>
    <n v="5"/>
    <x v="0"/>
    <x v="0"/>
  </r>
  <r>
    <n v="137"/>
    <x v="136"/>
    <x v="44"/>
    <s v="M"/>
    <n v="2"/>
    <d v="2025-06-09T00:00:00"/>
    <d v="2025-06-11T00:00:00"/>
    <n v="3"/>
    <n v="2768"/>
    <x v="0"/>
    <x v="2"/>
    <n v="2"/>
    <x v="2"/>
    <x v="0"/>
  </r>
  <r>
    <n v="138"/>
    <x v="137"/>
    <x v="22"/>
    <s v="F"/>
    <n v="6"/>
    <d v="2025-06-22T00:00:00"/>
    <d v="2025-07-02T00:00:00"/>
    <n v="3"/>
    <n v="8733"/>
    <x v="1"/>
    <x v="2"/>
    <n v="10"/>
    <x v="2"/>
    <x v="0"/>
  </r>
  <r>
    <n v="139"/>
    <x v="138"/>
    <x v="27"/>
    <s v="F"/>
    <n v="9"/>
    <d v="2025-03-02T00:00:00"/>
    <d v="2025-03-11T00:00:00"/>
    <n v="3"/>
    <n v="7490"/>
    <x v="3"/>
    <x v="2"/>
    <n v="9"/>
    <x v="0"/>
    <x v="1"/>
  </r>
  <r>
    <n v="140"/>
    <x v="139"/>
    <x v="55"/>
    <s v="M"/>
    <n v="8"/>
    <d v="2025-02-16T00:00:00"/>
    <d v="2025-03-31T00:00:00"/>
    <n v="2"/>
    <n v="9342"/>
    <x v="7"/>
    <x v="1"/>
    <n v="43"/>
    <x v="1"/>
    <x v="0"/>
  </r>
  <r>
    <n v="141"/>
    <x v="140"/>
    <x v="28"/>
    <s v="M"/>
    <n v="5"/>
    <d v="2025-05-29T00:00:00"/>
    <d v="2025-06-01T00:00:00"/>
    <n v="2"/>
    <n v="5057"/>
    <x v="6"/>
    <x v="1"/>
    <n v="3"/>
    <x v="0"/>
    <x v="1"/>
  </r>
  <r>
    <n v="142"/>
    <x v="141"/>
    <x v="0"/>
    <s v="F"/>
    <n v="1"/>
    <d v="2025-03-21T00:00:00"/>
    <d v="2025-03-30T00:00:00"/>
    <n v="3"/>
    <n v="6289"/>
    <x v="5"/>
    <x v="2"/>
    <n v="9"/>
    <x v="2"/>
    <x v="1"/>
  </r>
  <r>
    <n v="143"/>
    <x v="142"/>
    <x v="7"/>
    <s v="M"/>
    <n v="7"/>
    <d v="2025-04-28T00:00:00"/>
    <d v="2025-05-02T00:00:00"/>
    <n v="3"/>
    <n v="8645"/>
    <x v="8"/>
    <x v="2"/>
    <n v="4"/>
    <x v="1"/>
    <x v="1"/>
  </r>
  <r>
    <n v="144"/>
    <x v="143"/>
    <x v="53"/>
    <s v="M"/>
    <n v="5"/>
    <d v="2025-06-13T00:00:00"/>
    <d v="2025-06-16T00:00:00"/>
    <n v="3"/>
    <n v="7083"/>
    <x v="6"/>
    <x v="2"/>
    <n v="3"/>
    <x v="0"/>
    <x v="1"/>
  </r>
  <r>
    <n v="145"/>
    <x v="144"/>
    <x v="29"/>
    <s v="F"/>
    <n v="6"/>
    <d v="2025-05-27T00:00:00"/>
    <d v="2025-06-04T00:00:00"/>
    <n v="2"/>
    <n v="7232"/>
    <x v="1"/>
    <x v="1"/>
    <n v="8"/>
    <x v="1"/>
    <x v="0"/>
  </r>
  <r>
    <n v="146"/>
    <x v="145"/>
    <x v="36"/>
    <s v="M"/>
    <n v="7"/>
    <d v="2025-01-20T00:00:00"/>
    <d v="2025-04-18T00:00:00"/>
    <n v="3"/>
    <n v="4161"/>
    <x v="8"/>
    <x v="2"/>
    <n v="88"/>
    <x v="1"/>
    <x v="0"/>
  </r>
  <r>
    <n v="147"/>
    <x v="146"/>
    <x v="37"/>
    <s v="M"/>
    <n v="3"/>
    <d v="2025-05-26T00:00:00"/>
    <d v="2025-07-08T00:00:00"/>
    <n v="3"/>
    <n v="5293"/>
    <x v="2"/>
    <x v="2"/>
    <n v="43"/>
    <x v="2"/>
    <x v="0"/>
  </r>
  <r>
    <n v="148"/>
    <x v="147"/>
    <x v="5"/>
    <s v="F"/>
    <n v="10"/>
    <d v="2025-02-16T00:00:00"/>
    <d v="2025-02-25T00:00:00"/>
    <n v="1"/>
    <n v="7797"/>
    <x v="9"/>
    <x v="0"/>
    <n v="9"/>
    <x v="1"/>
    <x v="0"/>
  </r>
  <r>
    <n v="149"/>
    <x v="148"/>
    <x v="23"/>
    <s v="F"/>
    <n v="3"/>
    <d v="2025-02-18T00:00:00"/>
    <d v="2025-05-16T00:00:00"/>
    <n v="1"/>
    <n v="2946"/>
    <x v="2"/>
    <x v="0"/>
    <n v="87"/>
    <x v="2"/>
    <x v="0"/>
  </r>
  <r>
    <n v="150"/>
    <x v="149"/>
    <x v="48"/>
    <s v="M"/>
    <n v="5"/>
    <d v="2025-01-14T00:00:00"/>
    <d v="2025-03-06T00:00:00"/>
    <n v="2"/>
    <n v="6926"/>
    <x v="6"/>
    <x v="1"/>
    <n v="51"/>
    <x v="1"/>
    <x v="0"/>
  </r>
  <r>
    <n v="151"/>
    <x v="150"/>
    <x v="22"/>
    <s v="M"/>
    <n v="6"/>
    <d v="2025-05-23T00:00:00"/>
    <d v="2025-05-30T00:00:00"/>
    <n v="3"/>
    <n v="9811"/>
    <x v="1"/>
    <x v="2"/>
    <n v="7"/>
    <x v="1"/>
    <x v="0"/>
  </r>
  <r>
    <n v="152"/>
    <x v="151"/>
    <x v="51"/>
    <s v="F"/>
    <n v="9"/>
    <d v="2025-06-08T00:00:00"/>
    <d v="2025-06-13T00:00:00"/>
    <n v="3"/>
    <n v="8016"/>
    <x v="3"/>
    <x v="2"/>
    <n v="5"/>
    <x v="2"/>
    <x v="1"/>
  </r>
  <r>
    <n v="153"/>
    <x v="152"/>
    <x v="33"/>
    <s v="F"/>
    <n v="5"/>
    <d v="2025-01-01T00:00:00"/>
    <d v="2025-03-28T00:00:00"/>
    <n v="1"/>
    <n v="5335"/>
    <x v="6"/>
    <x v="0"/>
    <n v="86"/>
    <x v="1"/>
    <x v="0"/>
  </r>
  <r>
    <n v="154"/>
    <x v="153"/>
    <x v="9"/>
    <s v="F"/>
    <n v="1"/>
    <d v="2025-04-27T00:00:00"/>
    <d v="2025-05-19T00:00:00"/>
    <n v="2"/>
    <n v="9068"/>
    <x v="5"/>
    <x v="1"/>
    <n v="22"/>
    <x v="2"/>
    <x v="0"/>
  </r>
  <r>
    <n v="155"/>
    <x v="154"/>
    <x v="11"/>
    <s v="F"/>
    <n v="4"/>
    <d v="2025-02-23T00:00:00"/>
    <d v="2025-04-28T00:00:00"/>
    <n v="1"/>
    <n v="6150"/>
    <x v="4"/>
    <x v="0"/>
    <n v="64"/>
    <x v="0"/>
    <x v="0"/>
  </r>
  <r>
    <n v="156"/>
    <x v="155"/>
    <x v="35"/>
    <s v="M"/>
    <n v="5"/>
    <d v="2025-04-28T00:00:00"/>
    <d v="2025-06-12T00:00:00"/>
    <n v="1"/>
    <n v="9810"/>
    <x v="6"/>
    <x v="0"/>
    <n v="45"/>
    <x v="0"/>
    <x v="0"/>
  </r>
  <r>
    <n v="157"/>
    <x v="156"/>
    <x v="44"/>
    <s v="F"/>
    <n v="10"/>
    <d v="2025-01-03T00:00:00"/>
    <d v="2025-01-23T00:00:00"/>
    <n v="1"/>
    <n v="6895"/>
    <x v="9"/>
    <x v="0"/>
    <n v="20"/>
    <x v="0"/>
    <x v="0"/>
  </r>
  <r>
    <n v="158"/>
    <x v="157"/>
    <x v="18"/>
    <s v="F"/>
    <n v="10"/>
    <d v="2025-05-24T00:00:00"/>
    <d v="2025-06-02T00:00:00"/>
    <n v="1"/>
    <n v="6873"/>
    <x v="9"/>
    <x v="0"/>
    <n v="9"/>
    <x v="1"/>
    <x v="0"/>
  </r>
  <r>
    <n v="159"/>
    <x v="158"/>
    <x v="14"/>
    <s v="M"/>
    <n v="5"/>
    <d v="2025-01-12T00:00:00"/>
    <d v="2025-05-04T00:00:00"/>
    <n v="3"/>
    <n v="3481"/>
    <x v="6"/>
    <x v="2"/>
    <n v="112"/>
    <x v="0"/>
    <x v="1"/>
  </r>
  <r>
    <n v="160"/>
    <x v="159"/>
    <x v="16"/>
    <s v="F"/>
    <n v="7"/>
    <d v="2025-03-15T00:00:00"/>
    <d v="2025-03-19T00:00:00"/>
    <n v="3"/>
    <n v="3901"/>
    <x v="8"/>
    <x v="2"/>
    <n v="4"/>
    <x v="0"/>
    <x v="0"/>
  </r>
  <r>
    <n v="161"/>
    <x v="160"/>
    <x v="26"/>
    <s v="M"/>
    <n v="4"/>
    <d v="2025-01-16T00:00:00"/>
    <d v="2025-01-22T00:00:00"/>
    <n v="1"/>
    <n v="8305"/>
    <x v="4"/>
    <x v="0"/>
    <n v="6"/>
    <x v="1"/>
    <x v="0"/>
  </r>
  <r>
    <n v="162"/>
    <x v="161"/>
    <x v="44"/>
    <s v="F"/>
    <n v="1"/>
    <d v="2025-04-12T00:00:00"/>
    <d v="2025-04-30T00:00:00"/>
    <n v="2"/>
    <n v="5451"/>
    <x v="5"/>
    <x v="1"/>
    <n v="18"/>
    <x v="0"/>
    <x v="0"/>
  </r>
  <r>
    <n v="163"/>
    <x v="162"/>
    <x v="54"/>
    <s v="F"/>
    <n v="5"/>
    <d v="2025-06-01T00:00:00"/>
    <d v="2025-06-09T00:00:00"/>
    <n v="2"/>
    <n v="6064"/>
    <x v="6"/>
    <x v="1"/>
    <n v="8"/>
    <x v="0"/>
    <x v="0"/>
  </r>
  <r>
    <n v="164"/>
    <x v="163"/>
    <x v="44"/>
    <s v="F"/>
    <n v="7"/>
    <d v="2025-06-05T00:00:00"/>
    <d v="2025-06-06T00:00:00"/>
    <n v="2"/>
    <n v="8230"/>
    <x v="8"/>
    <x v="1"/>
    <n v="1"/>
    <x v="1"/>
    <x v="0"/>
  </r>
  <r>
    <n v="165"/>
    <x v="164"/>
    <x v="35"/>
    <s v="M"/>
    <n v="10"/>
    <d v="2025-04-27T00:00:00"/>
    <d v="2025-05-01T00:00:00"/>
    <n v="2"/>
    <n v="2054"/>
    <x v="9"/>
    <x v="1"/>
    <n v="4"/>
    <x v="1"/>
    <x v="1"/>
  </r>
  <r>
    <n v="166"/>
    <x v="165"/>
    <x v="31"/>
    <s v="M"/>
    <n v="10"/>
    <d v="2025-01-08T00:00:00"/>
    <d v="2025-02-16T00:00:00"/>
    <n v="1"/>
    <n v="9643"/>
    <x v="9"/>
    <x v="0"/>
    <n v="39"/>
    <x v="1"/>
    <x v="0"/>
  </r>
  <r>
    <n v="167"/>
    <x v="166"/>
    <x v="40"/>
    <s v="F"/>
    <n v="6"/>
    <d v="2025-05-02T00:00:00"/>
    <d v="2025-05-04T00:00:00"/>
    <n v="3"/>
    <n v="3823"/>
    <x v="1"/>
    <x v="2"/>
    <n v="2"/>
    <x v="0"/>
    <x v="0"/>
  </r>
  <r>
    <n v="168"/>
    <x v="167"/>
    <x v="15"/>
    <s v="M"/>
    <n v="5"/>
    <d v="2025-04-02T00:00:00"/>
    <d v="2025-04-03T00:00:00"/>
    <n v="2"/>
    <n v="7297"/>
    <x v="6"/>
    <x v="1"/>
    <n v="1"/>
    <x v="1"/>
    <x v="0"/>
  </r>
  <r>
    <n v="169"/>
    <x v="168"/>
    <x v="54"/>
    <s v="M"/>
    <n v="4"/>
    <d v="2025-06-13T00:00:00"/>
    <d v="2025-06-19T00:00:00"/>
    <n v="1"/>
    <n v="5462"/>
    <x v="4"/>
    <x v="0"/>
    <n v="6"/>
    <x v="0"/>
    <x v="0"/>
  </r>
  <r>
    <n v="170"/>
    <x v="169"/>
    <x v="55"/>
    <s v="M"/>
    <n v="2"/>
    <d v="2025-03-31T00:00:00"/>
    <d v="2025-04-07T00:00:00"/>
    <n v="2"/>
    <n v="9516"/>
    <x v="0"/>
    <x v="1"/>
    <n v="7"/>
    <x v="0"/>
    <x v="0"/>
  </r>
  <r>
    <n v="171"/>
    <x v="170"/>
    <x v="42"/>
    <s v="M"/>
    <n v="4"/>
    <d v="2025-05-16T00:00:00"/>
    <d v="2025-05-21T00:00:00"/>
    <n v="2"/>
    <n v="5079"/>
    <x v="4"/>
    <x v="1"/>
    <n v="5"/>
    <x v="1"/>
    <x v="0"/>
  </r>
  <r>
    <n v="172"/>
    <x v="171"/>
    <x v="33"/>
    <s v="M"/>
    <n v="10"/>
    <d v="2025-03-01T00:00:00"/>
    <d v="2025-03-03T00:00:00"/>
    <n v="1"/>
    <n v="2832"/>
    <x v="9"/>
    <x v="0"/>
    <n v="2"/>
    <x v="1"/>
    <x v="0"/>
  </r>
  <r>
    <n v="173"/>
    <x v="172"/>
    <x v="40"/>
    <s v="M"/>
    <n v="10"/>
    <d v="2025-06-27T00:00:00"/>
    <d v="2025-07-01T00:00:00"/>
    <n v="3"/>
    <n v="6408"/>
    <x v="9"/>
    <x v="2"/>
    <n v="4"/>
    <x v="2"/>
    <x v="0"/>
  </r>
  <r>
    <n v="174"/>
    <x v="173"/>
    <x v="0"/>
    <s v="F"/>
    <n v="3"/>
    <d v="2025-01-28T00:00:00"/>
    <d v="2025-05-15T00:00:00"/>
    <n v="3"/>
    <n v="4806"/>
    <x v="2"/>
    <x v="2"/>
    <n v="107"/>
    <x v="0"/>
    <x v="1"/>
  </r>
  <r>
    <n v="175"/>
    <x v="174"/>
    <x v="26"/>
    <s v="F"/>
    <n v="10"/>
    <d v="2025-04-11T00:00:00"/>
    <d v="2025-04-21T00:00:00"/>
    <n v="1"/>
    <n v="7954"/>
    <x v="9"/>
    <x v="0"/>
    <n v="10"/>
    <x v="0"/>
    <x v="0"/>
  </r>
  <r>
    <n v="176"/>
    <x v="175"/>
    <x v="37"/>
    <s v="M"/>
    <n v="1"/>
    <d v="2025-02-10T00:00:00"/>
    <d v="2025-02-16T00:00:00"/>
    <n v="3"/>
    <n v="8103"/>
    <x v="5"/>
    <x v="2"/>
    <n v="6"/>
    <x v="2"/>
    <x v="0"/>
  </r>
  <r>
    <n v="177"/>
    <x v="176"/>
    <x v="3"/>
    <s v="F"/>
    <n v="8"/>
    <d v="2025-06-04T00:00:00"/>
    <d v="2025-06-08T00:00:00"/>
    <n v="1"/>
    <n v="8102"/>
    <x v="7"/>
    <x v="0"/>
    <n v="4"/>
    <x v="0"/>
    <x v="0"/>
  </r>
  <r>
    <n v="178"/>
    <x v="177"/>
    <x v="3"/>
    <s v="F"/>
    <n v="5"/>
    <d v="2025-05-25T00:00:00"/>
    <d v="2025-06-02T00:00:00"/>
    <n v="1"/>
    <n v="4490"/>
    <x v="6"/>
    <x v="0"/>
    <n v="8"/>
    <x v="0"/>
    <x v="0"/>
  </r>
  <r>
    <n v="179"/>
    <x v="178"/>
    <x v="42"/>
    <s v="F"/>
    <n v="4"/>
    <d v="2025-06-10T00:00:00"/>
    <d v="2025-06-17T00:00:00"/>
    <n v="1"/>
    <n v="7886"/>
    <x v="4"/>
    <x v="0"/>
    <n v="7"/>
    <x v="2"/>
    <x v="0"/>
  </r>
  <r>
    <n v="180"/>
    <x v="179"/>
    <x v="28"/>
    <s v="F"/>
    <n v="8"/>
    <d v="2025-06-06T00:00:00"/>
    <d v="2025-06-14T00:00:00"/>
    <n v="3"/>
    <n v="2327"/>
    <x v="7"/>
    <x v="2"/>
    <n v="8"/>
    <x v="0"/>
    <x v="1"/>
  </r>
  <r>
    <n v="181"/>
    <x v="180"/>
    <x v="21"/>
    <s v="M"/>
    <n v="7"/>
    <d v="2025-05-21T00:00:00"/>
    <d v="2025-05-27T00:00:00"/>
    <n v="1"/>
    <n v="9221"/>
    <x v="8"/>
    <x v="0"/>
    <n v="6"/>
    <x v="1"/>
    <x v="0"/>
  </r>
  <r>
    <n v="182"/>
    <x v="181"/>
    <x v="56"/>
    <s v="F"/>
    <n v="2"/>
    <d v="2025-02-15T00:00:00"/>
    <d v="2025-03-17T00:00:00"/>
    <n v="2"/>
    <n v="8904"/>
    <x v="0"/>
    <x v="1"/>
    <n v="30"/>
    <x v="1"/>
    <x v="0"/>
  </r>
  <r>
    <n v="183"/>
    <x v="182"/>
    <x v="32"/>
    <s v="F"/>
    <n v="1"/>
    <d v="2025-02-04T00:00:00"/>
    <d v="2025-04-28T00:00:00"/>
    <n v="3"/>
    <n v="5310"/>
    <x v="5"/>
    <x v="2"/>
    <n v="83"/>
    <x v="0"/>
    <x v="1"/>
  </r>
  <r>
    <n v="184"/>
    <x v="183"/>
    <x v="57"/>
    <s v="M"/>
    <n v="4"/>
    <d v="2025-05-14T00:00:00"/>
    <d v="2025-06-04T00:00:00"/>
    <n v="3"/>
    <n v="5300"/>
    <x v="4"/>
    <x v="2"/>
    <n v="21"/>
    <x v="0"/>
    <x v="0"/>
  </r>
  <r>
    <n v="185"/>
    <x v="184"/>
    <x v="0"/>
    <s v="M"/>
    <n v="8"/>
    <d v="2025-03-23T00:00:00"/>
    <d v="2025-04-30T00:00:00"/>
    <n v="3"/>
    <n v="8722"/>
    <x v="7"/>
    <x v="2"/>
    <n v="38"/>
    <x v="0"/>
    <x v="1"/>
  </r>
  <r>
    <n v="186"/>
    <x v="185"/>
    <x v="25"/>
    <s v="F"/>
    <n v="2"/>
    <d v="2025-04-25T00:00:00"/>
    <d v="2025-04-30T00:00:00"/>
    <n v="3"/>
    <n v="9218"/>
    <x v="0"/>
    <x v="2"/>
    <n v="5"/>
    <x v="1"/>
    <x v="1"/>
  </r>
  <r>
    <n v="187"/>
    <x v="186"/>
    <x v="1"/>
    <s v="F"/>
    <n v="3"/>
    <d v="2025-02-16T00:00:00"/>
    <d v="2025-02-19T00:00:00"/>
    <n v="2"/>
    <n v="9776"/>
    <x v="2"/>
    <x v="1"/>
    <n v="3"/>
    <x v="1"/>
    <x v="1"/>
  </r>
  <r>
    <n v="188"/>
    <x v="187"/>
    <x v="57"/>
    <s v="F"/>
    <n v="1"/>
    <d v="2025-06-02T00:00:00"/>
    <d v="2025-06-07T00:00:00"/>
    <n v="3"/>
    <n v="5675"/>
    <x v="5"/>
    <x v="2"/>
    <n v="5"/>
    <x v="1"/>
    <x v="0"/>
  </r>
  <r>
    <n v="189"/>
    <x v="188"/>
    <x v="39"/>
    <s v="F"/>
    <n v="1"/>
    <d v="2025-01-10T00:00:00"/>
    <d v="2025-01-17T00:00:00"/>
    <n v="3"/>
    <n v="5054"/>
    <x v="5"/>
    <x v="2"/>
    <n v="7"/>
    <x v="1"/>
    <x v="0"/>
  </r>
  <r>
    <n v="190"/>
    <x v="189"/>
    <x v="19"/>
    <s v="F"/>
    <n v="3"/>
    <d v="2025-02-25T00:00:00"/>
    <d v="2025-06-26T00:00:00"/>
    <n v="1"/>
    <n v="7383"/>
    <x v="2"/>
    <x v="0"/>
    <n v="121"/>
    <x v="1"/>
    <x v="0"/>
  </r>
  <r>
    <n v="191"/>
    <x v="190"/>
    <x v="35"/>
    <s v="F"/>
    <n v="5"/>
    <d v="2025-01-30T00:00:00"/>
    <d v="2025-05-02T00:00:00"/>
    <n v="3"/>
    <n v="9585"/>
    <x v="6"/>
    <x v="2"/>
    <n v="92"/>
    <x v="0"/>
    <x v="1"/>
  </r>
  <r>
    <n v="192"/>
    <x v="191"/>
    <x v="9"/>
    <s v="M"/>
    <n v="3"/>
    <d v="2025-04-19T00:00:00"/>
    <d v="2025-04-22T00:00:00"/>
    <n v="2"/>
    <n v="9970"/>
    <x v="2"/>
    <x v="1"/>
    <n v="3"/>
    <x v="0"/>
    <x v="0"/>
  </r>
  <r>
    <n v="193"/>
    <x v="192"/>
    <x v="0"/>
    <s v="F"/>
    <n v="1"/>
    <d v="2025-01-05T00:00:00"/>
    <d v="2025-02-20T00:00:00"/>
    <n v="2"/>
    <n v="4143"/>
    <x v="5"/>
    <x v="1"/>
    <n v="46"/>
    <x v="1"/>
    <x v="1"/>
  </r>
  <r>
    <n v="194"/>
    <x v="193"/>
    <x v="52"/>
    <s v="F"/>
    <n v="1"/>
    <d v="2025-04-29T00:00:00"/>
    <d v="2025-06-27T00:00:00"/>
    <n v="2"/>
    <n v="7207"/>
    <x v="5"/>
    <x v="1"/>
    <n v="59"/>
    <x v="1"/>
    <x v="1"/>
  </r>
  <r>
    <n v="195"/>
    <x v="194"/>
    <x v="3"/>
    <s v="M"/>
    <n v="8"/>
    <d v="2025-02-02T00:00:00"/>
    <d v="2025-04-20T00:00:00"/>
    <n v="2"/>
    <n v="9245"/>
    <x v="7"/>
    <x v="1"/>
    <n v="77"/>
    <x v="1"/>
    <x v="0"/>
  </r>
  <r>
    <n v="196"/>
    <x v="195"/>
    <x v="4"/>
    <s v="M"/>
    <n v="10"/>
    <d v="2025-04-28T00:00:00"/>
    <d v="2025-05-02T00:00:00"/>
    <n v="3"/>
    <n v="3311"/>
    <x v="9"/>
    <x v="2"/>
    <n v="4"/>
    <x v="2"/>
    <x v="1"/>
  </r>
  <r>
    <n v="197"/>
    <x v="196"/>
    <x v="2"/>
    <s v="M"/>
    <n v="2"/>
    <d v="2025-03-06T00:00:00"/>
    <d v="2025-07-08T00:00:00"/>
    <n v="3"/>
    <n v="5191"/>
    <x v="0"/>
    <x v="2"/>
    <n v="124"/>
    <x v="1"/>
    <x v="0"/>
  </r>
  <r>
    <n v="198"/>
    <x v="197"/>
    <x v="13"/>
    <s v="M"/>
    <n v="3"/>
    <d v="2025-05-26T00:00:00"/>
    <d v="2025-06-04T00:00:00"/>
    <n v="2"/>
    <n v="8957"/>
    <x v="2"/>
    <x v="1"/>
    <n v="9"/>
    <x v="1"/>
    <x v="0"/>
  </r>
  <r>
    <n v="199"/>
    <x v="198"/>
    <x v="56"/>
    <s v="F"/>
    <n v="2"/>
    <d v="2025-06-26T00:00:00"/>
    <d v="2025-07-05T00:00:00"/>
    <n v="2"/>
    <n v="4538"/>
    <x v="0"/>
    <x v="1"/>
    <n v="9"/>
    <x v="1"/>
    <x v="0"/>
  </r>
  <r>
    <n v="200"/>
    <x v="199"/>
    <x v="57"/>
    <s v="F"/>
    <n v="3"/>
    <d v="2025-01-11T00:00:00"/>
    <d v="2025-03-09T00:00:00"/>
    <n v="3"/>
    <n v="5983"/>
    <x v="2"/>
    <x v="2"/>
    <n v="57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3A0D6-F6A3-174D-B4EB-7F0BA353F50E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4">
    <pivotField dataField="1"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>
      <items count="11">
        <item x="7"/>
        <item x="4"/>
        <item x="8"/>
        <item x="1"/>
        <item x="0"/>
        <item x="2"/>
        <item x="5"/>
        <item x="3"/>
        <item x="9"/>
        <item x="6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0C5C6-AC70-AA45-B75D-DA4EDB6A9DA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4">
    <pivotField showAll="0"/>
    <pivotField showAll="0">
      <items count="201">
        <item x="24"/>
        <item x="173"/>
        <item x="94"/>
        <item x="135"/>
        <item x="122"/>
        <item x="97"/>
        <item x="193"/>
        <item x="106"/>
        <item x="160"/>
        <item x="34"/>
        <item x="111"/>
        <item x="93"/>
        <item x="115"/>
        <item x="120"/>
        <item x="54"/>
        <item x="108"/>
        <item x="9"/>
        <item x="187"/>
        <item x="35"/>
        <item x="41"/>
        <item x="87"/>
        <item x="104"/>
        <item x="26"/>
        <item x="27"/>
        <item x="134"/>
        <item x="30"/>
        <item x="53"/>
        <item x="46"/>
        <item x="125"/>
        <item x="10"/>
        <item x="47"/>
        <item x="197"/>
        <item x="130"/>
        <item x="18"/>
        <item x="131"/>
        <item x="88"/>
        <item x="58"/>
        <item x="133"/>
        <item x="99"/>
        <item x="13"/>
        <item x="67"/>
        <item x="178"/>
        <item x="190"/>
        <item x="113"/>
        <item x="44"/>
        <item x="96"/>
        <item x="198"/>
        <item x="196"/>
        <item x="151"/>
        <item x="144"/>
        <item x="118"/>
        <item x="0"/>
        <item x="138"/>
        <item x="22"/>
        <item x="81"/>
        <item x="191"/>
        <item x="167"/>
        <item x="180"/>
        <item x="2"/>
        <item x="199"/>
        <item x="169"/>
        <item x="147"/>
        <item x="55"/>
        <item x="4"/>
        <item x="29"/>
        <item x="103"/>
        <item x="123"/>
        <item x="124"/>
        <item x="90"/>
        <item x="188"/>
        <item x="69"/>
        <item x="183"/>
        <item x="7"/>
        <item x="146"/>
        <item x="60"/>
        <item x="62"/>
        <item x="84"/>
        <item x="8"/>
        <item x="149"/>
        <item x="114"/>
        <item x="92"/>
        <item x="121"/>
        <item x="176"/>
        <item x="17"/>
        <item x="145"/>
        <item x="137"/>
        <item x="1"/>
        <item x="161"/>
        <item x="70"/>
        <item x="174"/>
        <item x="194"/>
        <item x="23"/>
        <item x="102"/>
        <item x="136"/>
        <item x="19"/>
        <item x="126"/>
        <item x="95"/>
        <item x="75"/>
        <item x="158"/>
        <item x="91"/>
        <item x="56"/>
        <item x="148"/>
        <item x="28"/>
        <item x="49"/>
        <item x="79"/>
        <item x="43"/>
        <item x="100"/>
        <item x="112"/>
        <item x="85"/>
        <item x="14"/>
        <item x="171"/>
        <item x="12"/>
        <item x="142"/>
        <item x="181"/>
        <item x="159"/>
        <item x="189"/>
        <item x="64"/>
        <item x="83"/>
        <item x="128"/>
        <item x="48"/>
        <item x="3"/>
        <item x="184"/>
        <item x="98"/>
        <item x="172"/>
        <item x="50"/>
        <item x="132"/>
        <item x="38"/>
        <item x="78"/>
        <item x="5"/>
        <item x="74"/>
        <item x="185"/>
        <item x="51"/>
        <item x="164"/>
        <item x="32"/>
        <item x="36"/>
        <item x="110"/>
        <item x="45"/>
        <item x="153"/>
        <item x="127"/>
        <item x="105"/>
        <item x="150"/>
        <item x="192"/>
        <item x="117"/>
        <item x="20"/>
        <item x="42"/>
        <item x="179"/>
        <item x="39"/>
        <item x="15"/>
        <item x="86"/>
        <item x="52"/>
        <item x="109"/>
        <item x="63"/>
        <item x="139"/>
        <item x="165"/>
        <item x="175"/>
        <item x="177"/>
        <item x="129"/>
        <item x="72"/>
        <item x="155"/>
        <item x="40"/>
        <item x="107"/>
        <item x="57"/>
        <item x="186"/>
        <item x="37"/>
        <item x="163"/>
        <item x="16"/>
        <item x="61"/>
        <item x="25"/>
        <item x="119"/>
        <item x="77"/>
        <item x="116"/>
        <item x="80"/>
        <item x="166"/>
        <item x="182"/>
        <item x="157"/>
        <item x="71"/>
        <item x="162"/>
        <item x="168"/>
        <item x="195"/>
        <item x="6"/>
        <item x="66"/>
        <item x="11"/>
        <item x="89"/>
        <item x="68"/>
        <item x="33"/>
        <item x="59"/>
        <item x="152"/>
        <item x="82"/>
        <item x="170"/>
        <item x="65"/>
        <item x="31"/>
        <item x="21"/>
        <item x="154"/>
        <item x="141"/>
        <item x="156"/>
        <item x="101"/>
        <item x="140"/>
        <item x="73"/>
        <item x="143"/>
        <item x="76"/>
        <item t="default"/>
      </items>
    </pivotField>
    <pivotField multipleItemSelectionAllowed="1" showAll="0">
      <items count="59">
        <item x="54"/>
        <item h="1" x="17"/>
        <item h="1" x="15"/>
        <item h="1" x="39"/>
        <item h="1" x="55"/>
        <item h="1" x="46"/>
        <item h="1" x="36"/>
        <item h="1" x="5"/>
        <item h="1" x="37"/>
        <item h="1" x="49"/>
        <item h="1" x="10"/>
        <item h="1" x="23"/>
        <item h="1" x="56"/>
        <item h="1" x="40"/>
        <item h="1" x="3"/>
        <item h="1" x="30"/>
        <item h="1" x="45"/>
        <item h="1" x="38"/>
        <item h="1" x="8"/>
        <item h="1" x="43"/>
        <item h="1" x="6"/>
        <item h="1" x="16"/>
        <item h="1" x="9"/>
        <item h="1" x="11"/>
        <item h="1" x="24"/>
        <item h="1" x="42"/>
        <item h="1" x="26"/>
        <item h="1" x="29"/>
        <item h="1" x="2"/>
        <item h="1" x="19"/>
        <item h="1" x="50"/>
        <item h="1" x="57"/>
        <item h="1" x="22"/>
        <item h="1" x="48"/>
        <item h="1" x="44"/>
        <item h="1" x="13"/>
        <item h="1" x="35"/>
        <item h="1" x="20"/>
        <item h="1" x="0"/>
        <item h="1" x="14"/>
        <item h="1" x="53"/>
        <item h="1" x="28"/>
        <item h="1" x="4"/>
        <item h="1" x="18"/>
        <item h="1" x="52"/>
        <item h="1" x="31"/>
        <item h="1" x="51"/>
        <item h="1" x="25"/>
        <item h="1" x="41"/>
        <item h="1" x="32"/>
        <item h="1" x="1"/>
        <item h="1" x="12"/>
        <item h="1" x="47"/>
        <item h="1" x="33"/>
        <item h="1" x="34"/>
        <item h="1" x="7"/>
        <item h="1" x="27"/>
        <item h="1" x="21"/>
        <item t="default"/>
      </items>
    </pivotField>
    <pivotField showAll="0"/>
    <pivotField showAll="0"/>
    <pivotField numFmtId="14" showAll="0"/>
    <pivotField numFmtId="14" showAll="0"/>
    <pivotField showAll="0"/>
    <pivotField dataField="1" showAll="0"/>
    <pivotField axis="axisRow" showAll="0" sortType="descending">
      <items count="11">
        <item x="7"/>
        <item x="4"/>
        <item x="8"/>
        <item x="1"/>
        <item x="0"/>
        <item x="2"/>
        <item x="5"/>
        <item x="3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</pivotFields>
  <rowFields count="1">
    <field x="9"/>
  </rowFields>
  <rowItems count="11">
    <i>
      <x/>
    </i>
    <i>
      <x v="7"/>
    </i>
    <i>
      <x v="9"/>
    </i>
    <i>
      <x v="5"/>
    </i>
    <i>
      <x v="2"/>
    </i>
    <i>
      <x v="4"/>
    </i>
    <i>
      <x v="1"/>
    </i>
    <i>
      <x v="8"/>
    </i>
    <i>
      <x v="6"/>
    </i>
    <i>
      <x v="3"/>
    </i>
    <i t="grand">
      <x/>
    </i>
  </rowItems>
  <colItems count="1">
    <i/>
  </colItems>
  <dataFields count="1">
    <dataField name="Average of TreatmentCost" fld="8" subtotal="average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EB8C4-0871-F440-B75C-B347AC952A23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E5" firstHeaderRow="1" firstDataRow="2" firstDataCol="1"/>
  <pivotFields count="14">
    <pivotField dataField="1"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PatientID" fld="0" subtotal="count" baseField="0" baseItem="0"/>
  </dataFields>
  <chartFormats count="3">
    <chartFormat chart="0" format="0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41111-41E0-8440-9ECD-3888881094BE}">
  <dimension ref="A1:N283"/>
  <sheetViews>
    <sheetView tabSelected="1" zoomScale="125" zoomScaleNormal="125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4" style="11" bestFit="1" customWidth="1"/>
    <col min="2" max="2" width="20" bestFit="1" customWidth="1"/>
    <col min="3" max="3" width="9.33203125" style="11" bestFit="1" customWidth="1"/>
    <col min="4" max="4" width="12.1640625" style="3" bestFit="1" customWidth="1"/>
    <col min="5" max="5" width="16.33203125" style="13" bestFit="1" customWidth="1"/>
    <col min="6" max="6" width="19" bestFit="1" customWidth="1"/>
    <col min="7" max="7" width="18.6640625" bestFit="1" customWidth="1"/>
    <col min="8" max="8" width="15.6640625" bestFit="1" customWidth="1"/>
    <col min="9" max="9" width="18.6640625" bestFit="1" customWidth="1"/>
    <col min="10" max="10" width="19.5" bestFit="1" customWidth="1"/>
    <col min="11" max="11" width="18.83203125" bestFit="1" customWidth="1"/>
    <col min="12" max="12" width="17.6640625" bestFit="1" customWidth="1"/>
    <col min="13" max="13" width="28.33203125" bestFit="1" customWidth="1"/>
    <col min="14" max="14" width="14.83203125" bestFit="1" customWidth="1"/>
  </cols>
  <sheetData>
    <row r="1" spans="1:14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231</v>
      </c>
      <c r="K1" s="7" t="s">
        <v>227</v>
      </c>
      <c r="L1" s="7" t="s">
        <v>242</v>
      </c>
      <c r="M1" s="7" t="s">
        <v>243</v>
      </c>
      <c r="N1" s="7" t="s">
        <v>244</v>
      </c>
    </row>
    <row r="2" spans="1:14" x14ac:dyDescent="0.2">
      <c r="A2" s="4">
        <v>1</v>
      </c>
      <c r="B2" s="10" t="s">
        <v>9</v>
      </c>
      <c r="C2" s="4">
        <v>68</v>
      </c>
      <c r="D2" s="10" t="s">
        <v>10</v>
      </c>
      <c r="E2" s="9">
        <v>2</v>
      </c>
      <c r="F2" s="5">
        <v>45738</v>
      </c>
      <c r="G2" s="5">
        <v>45751</v>
      </c>
      <c r="H2" s="4">
        <v>1</v>
      </c>
      <c r="I2" s="4">
        <v>4443</v>
      </c>
      <c r="J2" s="10" t="str">
        <f>VLOOKUP(E2,Diagnosis!$A$2:$B$11,2,FALSE)</f>
        <v>Diabetes</v>
      </c>
      <c r="K2" s="10" t="str">
        <f>VLOOKUP(H2,Outcomes!$A$2:$B$4,2,FALSE)</f>
        <v>Recovered</v>
      </c>
      <c r="L2" s="9">
        <f t="shared" ref="L2:L33" si="0">DATEDIF(F2,G2,"d")</f>
        <v>13</v>
      </c>
      <c r="M2" s="10" t="str">
        <f>_xlfn.IFNA(IF(VLOOKUP(Patients!A2,Labs!$B$2:$D$201,3,FALSE)&gt;120,"High","Normal"),"Not Applicable")</f>
        <v>Not Applicable</v>
      </c>
      <c r="N2" s="12" t="str">
        <f t="shared" ref="N2:N33" si="1">IF(AND(C2&gt;65,H2&lt;&gt;1),"High Risk","Low Risk")</f>
        <v>Low Risk</v>
      </c>
    </row>
    <row r="3" spans="1:14" x14ac:dyDescent="0.2">
      <c r="A3" s="4">
        <v>2</v>
      </c>
      <c r="B3" s="10" t="s">
        <v>11</v>
      </c>
      <c r="C3" s="4">
        <v>81</v>
      </c>
      <c r="D3" s="10" t="s">
        <v>10</v>
      </c>
      <c r="E3" s="9">
        <v>2</v>
      </c>
      <c r="F3" s="5">
        <v>45747</v>
      </c>
      <c r="G3" s="5">
        <v>45749</v>
      </c>
      <c r="H3" s="4">
        <v>2</v>
      </c>
      <c r="I3" s="4">
        <v>4265</v>
      </c>
      <c r="J3" s="10" t="str">
        <f>VLOOKUP(E3,Diagnosis!$A$2:$B$11,2,FALSE)</f>
        <v>Diabetes</v>
      </c>
      <c r="K3" s="10" t="str">
        <f>VLOOKUP(H3,Outcomes!$A$2:$B$4,2,FALSE)</f>
        <v>Complicated</v>
      </c>
      <c r="L3" s="9">
        <f t="shared" si="0"/>
        <v>2</v>
      </c>
      <c r="M3" s="10" t="str">
        <f>_xlfn.IFNA(IF(VLOOKUP(Patients!A3,Labs!$B$2:$D$201,3,FALSE)&gt;120,"High","Normal"),"Not Applicable")</f>
        <v>High</v>
      </c>
      <c r="N3" s="12" t="str">
        <f t="shared" si="1"/>
        <v>High Risk</v>
      </c>
    </row>
    <row r="4" spans="1:14" x14ac:dyDescent="0.2">
      <c r="A4" s="4">
        <v>3</v>
      </c>
      <c r="B4" s="10" t="s">
        <v>12</v>
      </c>
      <c r="C4" s="4">
        <v>58</v>
      </c>
      <c r="D4" s="10" t="s">
        <v>10</v>
      </c>
      <c r="E4" s="9">
        <v>6</v>
      </c>
      <c r="F4" s="5">
        <v>45665</v>
      </c>
      <c r="G4" s="5">
        <v>45729</v>
      </c>
      <c r="H4" s="4">
        <v>1</v>
      </c>
      <c r="I4" s="4">
        <v>4188</v>
      </c>
      <c r="J4" s="10" t="str">
        <f>VLOOKUP(E4,Diagnosis!$A$2:$B$11,2,FALSE)</f>
        <v>COPD</v>
      </c>
      <c r="K4" s="10" t="str">
        <f>VLOOKUP(H4,Outcomes!$A$2:$B$4,2,FALSE)</f>
        <v>Recovered</v>
      </c>
      <c r="L4" s="9">
        <f t="shared" si="0"/>
        <v>64</v>
      </c>
      <c r="M4" s="10" t="str">
        <f>_xlfn.IFNA(IF(VLOOKUP(Patients!A4,Labs!$B$2:$D$201,3,FALSE)&gt;120,"High","Normal"),"Not Applicable")</f>
        <v>Not Applicable</v>
      </c>
      <c r="N4" s="12" t="str">
        <f t="shared" si="1"/>
        <v>Low Risk</v>
      </c>
    </row>
    <row r="5" spans="1:14" x14ac:dyDescent="0.2">
      <c r="A5" s="4">
        <v>4</v>
      </c>
      <c r="B5" s="10" t="s">
        <v>13</v>
      </c>
      <c r="C5" s="4">
        <v>44</v>
      </c>
      <c r="D5" s="10" t="s">
        <v>14</v>
      </c>
      <c r="E5" s="9">
        <v>3</v>
      </c>
      <c r="F5" s="5">
        <v>45750</v>
      </c>
      <c r="G5" s="5">
        <v>45752</v>
      </c>
      <c r="H5" s="4">
        <v>1</v>
      </c>
      <c r="I5" s="4">
        <v>9783</v>
      </c>
      <c r="J5" s="10" t="str">
        <f>VLOOKUP(E5,Diagnosis!$A$2:$B$11,2,FALSE)</f>
        <v>Heart Disease</v>
      </c>
      <c r="K5" s="10" t="str">
        <f>VLOOKUP(H5,Outcomes!$A$2:$B$4,2,FALSE)</f>
        <v>Recovered</v>
      </c>
      <c r="L5" s="9">
        <f t="shared" si="0"/>
        <v>2</v>
      </c>
      <c r="M5" s="10" t="str">
        <f>_xlfn.IFNA(IF(VLOOKUP(Patients!A5,Labs!$B$2:$D$201,3,FALSE)&gt;120,"High","Normal"),"Not Applicable")</f>
        <v>High</v>
      </c>
      <c r="N5" s="12" t="str">
        <f t="shared" si="1"/>
        <v>Low Risk</v>
      </c>
    </row>
    <row r="6" spans="1:14" x14ac:dyDescent="0.2">
      <c r="A6" s="4">
        <v>5</v>
      </c>
      <c r="B6" s="10" t="s">
        <v>15</v>
      </c>
      <c r="C6" s="4">
        <v>72</v>
      </c>
      <c r="D6" s="10" t="s">
        <v>14</v>
      </c>
      <c r="E6" s="9">
        <v>9</v>
      </c>
      <c r="F6" s="5">
        <v>45811</v>
      </c>
      <c r="G6" s="5">
        <v>45812</v>
      </c>
      <c r="H6" s="4">
        <v>1</v>
      </c>
      <c r="I6" s="4">
        <v>5005</v>
      </c>
      <c r="J6" s="10" t="str">
        <f>VLOOKUP(E6,Diagnosis!$A$2:$B$11,2,FALSE)</f>
        <v>Kidney Disease</v>
      </c>
      <c r="K6" s="10" t="str">
        <f>VLOOKUP(H6,Outcomes!$A$2:$B$4,2,FALSE)</f>
        <v>Recovered</v>
      </c>
      <c r="L6" s="9">
        <f t="shared" si="0"/>
        <v>1</v>
      </c>
      <c r="M6" s="10" t="str">
        <f>_xlfn.IFNA(IF(VLOOKUP(Patients!A6,Labs!$B$2:$D$201,3,FALSE)&gt;120,"High","Normal"),"Not Applicable")</f>
        <v>Normal</v>
      </c>
      <c r="N6" s="12" t="str">
        <f t="shared" si="1"/>
        <v>Low Risk</v>
      </c>
    </row>
    <row r="7" spans="1:14" x14ac:dyDescent="0.2">
      <c r="A7" s="4">
        <v>6</v>
      </c>
      <c r="B7" s="10" t="s">
        <v>16</v>
      </c>
      <c r="C7" s="4">
        <v>37</v>
      </c>
      <c r="D7" s="10" t="s">
        <v>14</v>
      </c>
      <c r="E7" s="9">
        <v>4</v>
      </c>
      <c r="F7" s="5">
        <v>45747</v>
      </c>
      <c r="G7" s="5">
        <v>45752</v>
      </c>
      <c r="H7" s="4">
        <v>1</v>
      </c>
      <c r="I7" s="4">
        <v>5281</v>
      </c>
      <c r="J7" s="10" t="str">
        <f>VLOOKUP(E7,Diagnosis!$A$2:$B$11,2,FALSE)</f>
        <v>Asthma</v>
      </c>
      <c r="K7" s="10" t="str">
        <f>VLOOKUP(H7,Outcomes!$A$2:$B$4,2,FALSE)</f>
        <v>Recovered</v>
      </c>
      <c r="L7" s="9">
        <f t="shared" si="0"/>
        <v>5</v>
      </c>
      <c r="M7" s="10" t="str">
        <f>_xlfn.IFNA(IF(VLOOKUP(Patients!A7,Labs!$B$2:$D$201,3,FALSE)&gt;120,"High","Normal"),"Not Applicable")</f>
        <v>Not Applicable</v>
      </c>
      <c r="N7" s="12" t="str">
        <f t="shared" si="1"/>
        <v>Low Risk</v>
      </c>
    </row>
    <row r="8" spans="1:14" x14ac:dyDescent="0.2">
      <c r="A8" s="4">
        <v>7</v>
      </c>
      <c r="B8" s="10" t="s">
        <v>17</v>
      </c>
      <c r="C8" s="4">
        <v>50</v>
      </c>
      <c r="D8" s="10" t="s">
        <v>14</v>
      </c>
      <c r="E8" s="9">
        <v>1</v>
      </c>
      <c r="F8" s="5">
        <v>45819</v>
      </c>
      <c r="G8" s="5">
        <v>45843</v>
      </c>
      <c r="H8" s="4">
        <v>2</v>
      </c>
      <c r="I8" s="4">
        <v>2984</v>
      </c>
      <c r="J8" s="10" t="str">
        <f>VLOOKUP(E8,Diagnosis!$A$2:$B$11,2,FALSE)</f>
        <v>Hypertension</v>
      </c>
      <c r="K8" s="10" t="str">
        <f>VLOOKUP(H8,Outcomes!$A$2:$B$4,2,FALSE)</f>
        <v>Complicated</v>
      </c>
      <c r="L8" s="9">
        <f t="shared" si="0"/>
        <v>24</v>
      </c>
      <c r="M8" s="10" t="str">
        <f>_xlfn.IFNA(IF(VLOOKUP(Patients!A8,Labs!$B$2:$D$201,3,FALSE)&gt;120,"High","Normal"),"Not Applicable")</f>
        <v>High</v>
      </c>
      <c r="N8" s="12" t="str">
        <f t="shared" si="1"/>
        <v>Low Risk</v>
      </c>
    </row>
    <row r="9" spans="1:14" x14ac:dyDescent="0.2">
      <c r="A9" s="4">
        <v>8</v>
      </c>
      <c r="B9" s="10" t="s">
        <v>18</v>
      </c>
      <c r="C9" s="4">
        <v>68</v>
      </c>
      <c r="D9" s="10" t="s">
        <v>10</v>
      </c>
      <c r="E9" s="9">
        <v>4</v>
      </c>
      <c r="F9" s="5">
        <v>45772</v>
      </c>
      <c r="G9" s="5">
        <v>45827</v>
      </c>
      <c r="H9" s="4">
        <v>1</v>
      </c>
      <c r="I9" s="4">
        <v>9136</v>
      </c>
      <c r="J9" s="10" t="str">
        <f>VLOOKUP(E9,Diagnosis!$A$2:$B$11,2,FALSE)</f>
        <v>Asthma</v>
      </c>
      <c r="K9" s="10" t="str">
        <f>VLOOKUP(H9,Outcomes!$A$2:$B$4,2,FALSE)</f>
        <v>Recovered</v>
      </c>
      <c r="L9" s="9">
        <f t="shared" si="0"/>
        <v>55</v>
      </c>
      <c r="M9" s="10" t="str">
        <f>_xlfn.IFNA(IF(VLOOKUP(Patients!A9,Labs!$B$2:$D$201,3,FALSE)&gt;120,"High","Normal"),"Not Applicable")</f>
        <v>Normal</v>
      </c>
      <c r="N9" s="12" t="str">
        <f t="shared" si="1"/>
        <v>Low Risk</v>
      </c>
    </row>
    <row r="10" spans="1:14" x14ac:dyDescent="0.2">
      <c r="A10" s="4">
        <v>9</v>
      </c>
      <c r="B10" s="10" t="s">
        <v>19</v>
      </c>
      <c r="C10" s="4">
        <v>87</v>
      </c>
      <c r="D10" s="10" t="s">
        <v>14</v>
      </c>
      <c r="E10" s="9">
        <v>1</v>
      </c>
      <c r="F10" s="5">
        <v>45762</v>
      </c>
      <c r="G10" s="5">
        <v>45764</v>
      </c>
      <c r="H10" s="4">
        <v>2</v>
      </c>
      <c r="I10" s="4">
        <v>9790</v>
      </c>
      <c r="J10" s="10" t="str">
        <f>VLOOKUP(E10,Diagnosis!$A$2:$B$11,2,FALSE)</f>
        <v>Hypertension</v>
      </c>
      <c r="K10" s="10" t="str">
        <f>VLOOKUP(H10,Outcomes!$A$2:$B$4,2,FALSE)</f>
        <v>Complicated</v>
      </c>
      <c r="L10" s="9">
        <f t="shared" si="0"/>
        <v>2</v>
      </c>
      <c r="M10" s="10" t="str">
        <f>_xlfn.IFNA(IF(VLOOKUP(Patients!A10,Labs!$B$2:$D$201,3,FALSE)&gt;120,"High","Normal"),"Not Applicable")</f>
        <v>High</v>
      </c>
      <c r="N10" s="12" t="str">
        <f t="shared" si="1"/>
        <v>High Risk</v>
      </c>
    </row>
    <row r="11" spans="1:14" x14ac:dyDescent="0.2">
      <c r="A11" s="4">
        <v>10</v>
      </c>
      <c r="B11" s="10" t="s">
        <v>20</v>
      </c>
      <c r="C11" s="4">
        <v>48</v>
      </c>
      <c r="D11" s="10" t="s">
        <v>10</v>
      </c>
      <c r="E11" s="9">
        <v>5</v>
      </c>
      <c r="F11" s="5">
        <v>45792</v>
      </c>
      <c r="G11" s="5">
        <v>45796</v>
      </c>
      <c r="H11" s="4">
        <v>2</v>
      </c>
      <c r="I11" s="4">
        <v>3639</v>
      </c>
      <c r="J11" s="10" t="str">
        <f>VLOOKUP(E11,Diagnosis!$A$2:$B$11,2,FALSE)</f>
        <v>Stroke</v>
      </c>
      <c r="K11" s="10" t="str">
        <f>VLOOKUP(H11,Outcomes!$A$2:$B$4,2,FALSE)</f>
        <v>Complicated</v>
      </c>
      <c r="L11" s="9">
        <f t="shared" si="0"/>
        <v>4</v>
      </c>
      <c r="M11" s="10" t="str">
        <f>_xlfn.IFNA(IF(VLOOKUP(Patients!A11,Labs!$B$2:$D$201,3,FALSE)&gt;120,"High","Normal"),"Not Applicable")</f>
        <v>High</v>
      </c>
      <c r="N11" s="12" t="str">
        <f t="shared" si="1"/>
        <v>Low Risk</v>
      </c>
    </row>
    <row r="12" spans="1:14" x14ac:dyDescent="0.2">
      <c r="A12" s="4">
        <v>11</v>
      </c>
      <c r="B12" s="10" t="s">
        <v>21</v>
      </c>
      <c r="C12" s="4">
        <v>52</v>
      </c>
      <c r="D12" s="10" t="s">
        <v>10</v>
      </c>
      <c r="E12" s="9">
        <v>4</v>
      </c>
      <c r="F12" s="5">
        <v>45715</v>
      </c>
      <c r="G12" s="5">
        <v>45765</v>
      </c>
      <c r="H12" s="4">
        <v>3</v>
      </c>
      <c r="I12" s="4">
        <v>2827</v>
      </c>
      <c r="J12" s="10" t="str">
        <f>VLOOKUP(E12,Diagnosis!$A$2:$B$11,2,FALSE)</f>
        <v>Asthma</v>
      </c>
      <c r="K12" s="10" t="str">
        <f>VLOOKUP(H12,Outcomes!$A$2:$B$4,2,FALSE)</f>
        <v>Deceased</v>
      </c>
      <c r="L12" s="9">
        <f t="shared" si="0"/>
        <v>50</v>
      </c>
      <c r="M12" s="10" t="str">
        <f>_xlfn.IFNA(IF(VLOOKUP(Patients!A12,Labs!$B$2:$D$201,3,FALSE)&gt;120,"High","Normal"),"Not Applicable")</f>
        <v>High</v>
      </c>
      <c r="N12" s="12" t="str">
        <f t="shared" si="1"/>
        <v>Low Risk</v>
      </c>
    </row>
    <row r="13" spans="1:14" x14ac:dyDescent="0.2">
      <c r="A13" s="4">
        <v>12</v>
      </c>
      <c r="B13" s="10" t="s">
        <v>22</v>
      </c>
      <c r="C13" s="4">
        <v>40</v>
      </c>
      <c r="D13" s="10" t="s">
        <v>14</v>
      </c>
      <c r="E13" s="9">
        <v>8</v>
      </c>
      <c r="F13" s="5">
        <v>45771</v>
      </c>
      <c r="G13" s="5">
        <v>45795</v>
      </c>
      <c r="H13" s="4">
        <v>2</v>
      </c>
      <c r="I13" s="4">
        <v>4730</v>
      </c>
      <c r="J13" s="10" t="str">
        <f>VLOOKUP(E13,Diagnosis!$A$2:$B$11,2,FALSE)</f>
        <v>Arthritis</v>
      </c>
      <c r="K13" s="10" t="str">
        <f>VLOOKUP(H13,Outcomes!$A$2:$B$4,2,FALSE)</f>
        <v>Complicated</v>
      </c>
      <c r="L13" s="9">
        <f t="shared" si="0"/>
        <v>24</v>
      </c>
      <c r="M13" s="10" t="str">
        <f>_xlfn.IFNA(IF(VLOOKUP(Patients!A13,Labs!$B$2:$D$201,3,FALSE)&gt;120,"High","Normal"),"Not Applicable")</f>
        <v>High</v>
      </c>
      <c r="N13" s="12" t="str">
        <f t="shared" si="1"/>
        <v>Low Risk</v>
      </c>
    </row>
    <row r="14" spans="1:14" x14ac:dyDescent="0.2">
      <c r="A14" s="4">
        <v>13</v>
      </c>
      <c r="B14" s="10" t="s">
        <v>23</v>
      </c>
      <c r="C14" s="4">
        <v>40</v>
      </c>
      <c r="D14" s="10" t="s">
        <v>14</v>
      </c>
      <c r="E14" s="9">
        <v>8</v>
      </c>
      <c r="F14" s="5">
        <v>45732</v>
      </c>
      <c r="G14" s="5">
        <v>45815</v>
      </c>
      <c r="H14" s="4">
        <v>3</v>
      </c>
      <c r="I14" s="4">
        <v>5531</v>
      </c>
      <c r="J14" s="10" t="str">
        <f>VLOOKUP(E14,Diagnosis!$A$2:$B$11,2,FALSE)</f>
        <v>Arthritis</v>
      </c>
      <c r="K14" s="10" t="str">
        <f>VLOOKUP(H14,Outcomes!$A$2:$B$4,2,FALSE)</f>
        <v>Deceased</v>
      </c>
      <c r="L14" s="9">
        <f t="shared" si="0"/>
        <v>83</v>
      </c>
      <c r="M14" s="10" t="str">
        <f>_xlfn.IFNA(IF(VLOOKUP(Patients!A14,Labs!$B$2:$D$201,3,FALSE)&gt;120,"High","Normal"),"Not Applicable")</f>
        <v>Not Applicable</v>
      </c>
      <c r="N14" s="12" t="str">
        <f t="shared" si="1"/>
        <v>Low Risk</v>
      </c>
    </row>
    <row r="15" spans="1:14" x14ac:dyDescent="0.2">
      <c r="A15" s="4">
        <v>14</v>
      </c>
      <c r="B15" s="10" t="s">
        <v>24</v>
      </c>
      <c r="C15" s="4">
        <v>53</v>
      </c>
      <c r="D15" s="10" t="s">
        <v>14</v>
      </c>
      <c r="E15" s="9">
        <v>7</v>
      </c>
      <c r="F15" s="5">
        <v>45814</v>
      </c>
      <c r="G15" s="5">
        <v>45818</v>
      </c>
      <c r="H15" s="4">
        <v>2</v>
      </c>
      <c r="I15" s="4">
        <v>9147</v>
      </c>
      <c r="J15" s="10" t="str">
        <f>VLOOKUP(E15,Diagnosis!$A$2:$B$11,2,FALSE)</f>
        <v>Cancer</v>
      </c>
      <c r="K15" s="10" t="str">
        <f>VLOOKUP(H15,Outcomes!$A$2:$B$4,2,FALSE)</f>
        <v>Complicated</v>
      </c>
      <c r="L15" s="9">
        <f t="shared" si="0"/>
        <v>4</v>
      </c>
      <c r="M15" s="10" t="str">
        <f>_xlfn.IFNA(IF(VLOOKUP(Patients!A15,Labs!$B$2:$D$201,3,FALSE)&gt;120,"High","Normal"),"Not Applicable")</f>
        <v>High</v>
      </c>
      <c r="N15" s="12" t="str">
        <f t="shared" si="1"/>
        <v>Low Risk</v>
      </c>
    </row>
    <row r="16" spans="1:14" x14ac:dyDescent="0.2">
      <c r="A16" s="4">
        <v>15</v>
      </c>
      <c r="B16" s="10" t="s">
        <v>25</v>
      </c>
      <c r="C16" s="4">
        <v>82</v>
      </c>
      <c r="D16" s="10" t="s">
        <v>14</v>
      </c>
      <c r="E16" s="9">
        <v>3</v>
      </c>
      <c r="F16" s="5">
        <v>45777</v>
      </c>
      <c r="G16" s="5">
        <v>45780</v>
      </c>
      <c r="H16" s="4">
        <v>2</v>
      </c>
      <c r="I16" s="4">
        <v>6451</v>
      </c>
      <c r="J16" s="10" t="str">
        <f>VLOOKUP(E16,Diagnosis!$A$2:$B$11,2,FALSE)</f>
        <v>Heart Disease</v>
      </c>
      <c r="K16" s="10" t="str">
        <f>VLOOKUP(H16,Outcomes!$A$2:$B$4,2,FALSE)</f>
        <v>Complicated</v>
      </c>
      <c r="L16" s="9">
        <f t="shared" si="0"/>
        <v>3</v>
      </c>
      <c r="M16" s="10" t="str">
        <f>_xlfn.IFNA(IF(VLOOKUP(Patients!A16,Labs!$B$2:$D$201,3,FALSE)&gt;120,"High","Normal"),"Not Applicable")</f>
        <v>Not Applicable</v>
      </c>
      <c r="N16" s="12" t="str">
        <f t="shared" si="1"/>
        <v>High Risk</v>
      </c>
    </row>
    <row r="17" spans="1:14" x14ac:dyDescent="0.2">
      <c r="A17" s="4">
        <v>16</v>
      </c>
      <c r="B17" s="10" t="s">
        <v>26</v>
      </c>
      <c r="C17" s="4">
        <v>65</v>
      </c>
      <c r="D17" s="10" t="s">
        <v>14</v>
      </c>
      <c r="E17" s="9">
        <v>1</v>
      </c>
      <c r="F17" s="5">
        <v>45821</v>
      </c>
      <c r="G17" s="5">
        <v>45823</v>
      </c>
      <c r="H17" s="4">
        <v>2</v>
      </c>
      <c r="I17" s="4">
        <v>9151</v>
      </c>
      <c r="J17" s="10" t="str">
        <f>VLOOKUP(E17,Diagnosis!$A$2:$B$11,2,FALSE)</f>
        <v>Hypertension</v>
      </c>
      <c r="K17" s="10" t="str">
        <f>VLOOKUP(H17,Outcomes!$A$2:$B$4,2,FALSE)</f>
        <v>Complicated</v>
      </c>
      <c r="L17" s="9">
        <f t="shared" si="0"/>
        <v>2</v>
      </c>
      <c r="M17" s="10" t="str">
        <f>_xlfn.IFNA(IF(VLOOKUP(Patients!A17,Labs!$B$2:$D$201,3,FALSE)&gt;120,"High","Normal"),"Not Applicable")</f>
        <v>Normal</v>
      </c>
      <c r="N17" s="12" t="str">
        <f t="shared" si="1"/>
        <v>Low Risk</v>
      </c>
    </row>
    <row r="18" spans="1:14" x14ac:dyDescent="0.2">
      <c r="A18" s="4">
        <v>17</v>
      </c>
      <c r="B18" s="10" t="s">
        <v>27</v>
      </c>
      <c r="C18" s="4">
        <v>69</v>
      </c>
      <c r="D18" s="10" t="s">
        <v>14</v>
      </c>
      <c r="E18" s="9">
        <v>1</v>
      </c>
      <c r="F18" s="5">
        <v>45678</v>
      </c>
      <c r="G18" s="5">
        <v>45799</v>
      </c>
      <c r="H18" s="4">
        <v>3</v>
      </c>
      <c r="I18" s="4">
        <v>7443</v>
      </c>
      <c r="J18" s="10" t="str">
        <f>VLOOKUP(E18,Diagnosis!$A$2:$B$11,2,FALSE)</f>
        <v>Hypertension</v>
      </c>
      <c r="K18" s="10" t="str">
        <f>VLOOKUP(H18,Outcomes!$A$2:$B$4,2,FALSE)</f>
        <v>Deceased</v>
      </c>
      <c r="L18" s="9">
        <f t="shared" si="0"/>
        <v>121</v>
      </c>
      <c r="M18" s="10" t="str">
        <f>_xlfn.IFNA(IF(VLOOKUP(Patients!A18,Labs!$B$2:$D$201,3,FALSE)&gt;120,"High","Normal"),"Not Applicable")</f>
        <v>High</v>
      </c>
      <c r="N18" s="12" t="str">
        <f t="shared" si="1"/>
        <v>High Risk</v>
      </c>
    </row>
    <row r="19" spans="1:14" x14ac:dyDescent="0.2">
      <c r="A19" s="4">
        <v>18</v>
      </c>
      <c r="B19" s="10" t="s">
        <v>28</v>
      </c>
      <c r="C19" s="4">
        <v>53</v>
      </c>
      <c r="D19" s="10" t="s">
        <v>14</v>
      </c>
      <c r="E19" s="9">
        <v>3</v>
      </c>
      <c r="F19" s="5">
        <v>45821</v>
      </c>
      <c r="G19" s="5">
        <v>45830</v>
      </c>
      <c r="H19" s="4">
        <v>3</v>
      </c>
      <c r="I19" s="4">
        <v>9300</v>
      </c>
      <c r="J19" s="10" t="str">
        <f>VLOOKUP(E19,Diagnosis!$A$2:$B$11,2,FALSE)</f>
        <v>Heart Disease</v>
      </c>
      <c r="K19" s="10" t="str">
        <f>VLOOKUP(H19,Outcomes!$A$2:$B$4,2,FALSE)</f>
        <v>Deceased</v>
      </c>
      <c r="L19" s="9">
        <f t="shared" si="0"/>
        <v>9</v>
      </c>
      <c r="M19" s="10" t="str">
        <f>_xlfn.IFNA(IF(VLOOKUP(Patients!A19,Labs!$B$2:$D$201,3,FALSE)&gt;120,"High","Normal"),"Not Applicable")</f>
        <v>Not Applicable</v>
      </c>
      <c r="N19" s="12" t="str">
        <f t="shared" si="1"/>
        <v>Low Risk</v>
      </c>
    </row>
    <row r="20" spans="1:14" x14ac:dyDescent="0.2">
      <c r="A20" s="4">
        <v>19</v>
      </c>
      <c r="B20" s="10" t="s">
        <v>29</v>
      </c>
      <c r="C20" s="4">
        <v>32</v>
      </c>
      <c r="D20" s="10" t="s">
        <v>14</v>
      </c>
      <c r="E20" s="9">
        <v>6</v>
      </c>
      <c r="F20" s="5">
        <v>45795</v>
      </c>
      <c r="G20" s="5">
        <v>45797</v>
      </c>
      <c r="H20" s="4">
        <v>1</v>
      </c>
      <c r="I20" s="4">
        <v>4935</v>
      </c>
      <c r="J20" s="10" t="str">
        <f>VLOOKUP(E20,Diagnosis!$A$2:$B$11,2,FALSE)</f>
        <v>COPD</v>
      </c>
      <c r="K20" s="10" t="str">
        <f>VLOOKUP(H20,Outcomes!$A$2:$B$4,2,FALSE)</f>
        <v>Recovered</v>
      </c>
      <c r="L20" s="9">
        <f t="shared" si="0"/>
        <v>2</v>
      </c>
      <c r="M20" s="10" t="str">
        <f>_xlfn.IFNA(IF(VLOOKUP(Patients!A20,Labs!$B$2:$D$201,3,FALSE)&gt;120,"High","Normal"),"Not Applicable")</f>
        <v>High</v>
      </c>
      <c r="N20" s="12" t="str">
        <f t="shared" si="1"/>
        <v>Low Risk</v>
      </c>
    </row>
    <row r="21" spans="1:14" x14ac:dyDescent="0.2">
      <c r="A21" s="4">
        <v>20</v>
      </c>
      <c r="B21" s="10" t="s">
        <v>30</v>
      </c>
      <c r="C21" s="4">
        <v>51</v>
      </c>
      <c r="D21" s="10" t="s">
        <v>10</v>
      </c>
      <c r="E21" s="9">
        <v>7</v>
      </c>
      <c r="F21" s="5">
        <v>45758</v>
      </c>
      <c r="G21" s="5">
        <v>45847</v>
      </c>
      <c r="H21" s="4">
        <v>3</v>
      </c>
      <c r="I21" s="4">
        <v>5876</v>
      </c>
      <c r="J21" s="10" t="str">
        <f>VLOOKUP(E21,Diagnosis!$A$2:$B$11,2,FALSE)</f>
        <v>Cancer</v>
      </c>
      <c r="K21" s="10" t="str">
        <f>VLOOKUP(H21,Outcomes!$A$2:$B$4,2,FALSE)</f>
        <v>Deceased</v>
      </c>
      <c r="L21" s="9">
        <f t="shared" si="0"/>
        <v>89</v>
      </c>
      <c r="M21" s="10" t="str">
        <f>_xlfn.IFNA(IF(VLOOKUP(Patients!A21,Labs!$B$2:$D$201,3,FALSE)&gt;120,"High","Normal"),"Not Applicable")</f>
        <v>High</v>
      </c>
      <c r="N21" s="12" t="str">
        <f t="shared" si="1"/>
        <v>Low Risk</v>
      </c>
    </row>
    <row r="22" spans="1:14" x14ac:dyDescent="0.2">
      <c r="A22" s="4">
        <v>21</v>
      </c>
      <c r="B22" s="10" t="s">
        <v>31</v>
      </c>
      <c r="C22" s="4">
        <v>82</v>
      </c>
      <c r="D22" s="10" t="s">
        <v>14</v>
      </c>
      <c r="E22" s="9">
        <v>6</v>
      </c>
      <c r="F22" s="5">
        <v>45809</v>
      </c>
      <c r="G22" s="5">
        <v>45819</v>
      </c>
      <c r="H22" s="4">
        <v>3</v>
      </c>
      <c r="I22" s="4">
        <v>7959</v>
      </c>
      <c r="J22" s="10" t="str">
        <f>VLOOKUP(E22,Diagnosis!$A$2:$B$11,2,FALSE)</f>
        <v>COPD</v>
      </c>
      <c r="K22" s="10" t="str">
        <f>VLOOKUP(H22,Outcomes!$A$2:$B$4,2,FALSE)</f>
        <v>Deceased</v>
      </c>
      <c r="L22" s="9">
        <f t="shared" si="0"/>
        <v>10</v>
      </c>
      <c r="M22" s="10" t="str">
        <f>_xlfn.IFNA(IF(VLOOKUP(Patients!A22,Labs!$B$2:$D$201,3,FALSE)&gt;120,"High","Normal"),"Not Applicable")</f>
        <v>Not Applicable</v>
      </c>
      <c r="N22" s="12" t="str">
        <f t="shared" si="1"/>
        <v>High Risk</v>
      </c>
    </row>
    <row r="23" spans="1:14" x14ac:dyDescent="0.2">
      <c r="A23" s="4">
        <v>22</v>
      </c>
      <c r="B23" s="10" t="s">
        <v>32</v>
      </c>
      <c r="C23" s="4">
        <v>31</v>
      </c>
      <c r="D23" s="10" t="s">
        <v>14</v>
      </c>
      <c r="E23" s="9">
        <v>6</v>
      </c>
      <c r="F23" s="5">
        <v>45834</v>
      </c>
      <c r="G23" s="5">
        <v>45841</v>
      </c>
      <c r="H23" s="4">
        <v>3</v>
      </c>
      <c r="I23" s="4">
        <v>2126</v>
      </c>
      <c r="J23" s="10" t="str">
        <f>VLOOKUP(E23,Diagnosis!$A$2:$B$11,2,FALSE)</f>
        <v>COPD</v>
      </c>
      <c r="K23" s="10" t="str">
        <f>VLOOKUP(H23,Outcomes!$A$2:$B$4,2,FALSE)</f>
        <v>Deceased</v>
      </c>
      <c r="L23" s="9">
        <f t="shared" si="0"/>
        <v>7</v>
      </c>
      <c r="M23" s="10" t="str">
        <f>_xlfn.IFNA(IF(VLOOKUP(Patients!A23,Labs!$B$2:$D$201,3,FALSE)&gt;120,"High","Normal"),"Not Applicable")</f>
        <v>High</v>
      </c>
      <c r="N23" s="12" t="str">
        <f t="shared" si="1"/>
        <v>Low Risk</v>
      </c>
    </row>
    <row r="24" spans="1:14" x14ac:dyDescent="0.2">
      <c r="A24" s="4">
        <v>23</v>
      </c>
      <c r="B24" s="10" t="s">
        <v>33</v>
      </c>
      <c r="C24" s="4">
        <v>53</v>
      </c>
      <c r="D24" s="10" t="s">
        <v>10</v>
      </c>
      <c r="E24" s="9">
        <v>6</v>
      </c>
      <c r="F24" s="5">
        <v>45756</v>
      </c>
      <c r="G24" s="5">
        <v>45831</v>
      </c>
      <c r="H24" s="4">
        <v>3</v>
      </c>
      <c r="I24" s="4">
        <v>5177</v>
      </c>
      <c r="J24" s="10" t="str">
        <f>VLOOKUP(E24,Diagnosis!$A$2:$B$11,2,FALSE)</f>
        <v>COPD</v>
      </c>
      <c r="K24" s="10" t="str">
        <f>VLOOKUP(H24,Outcomes!$A$2:$B$4,2,FALSE)</f>
        <v>Deceased</v>
      </c>
      <c r="L24" s="9">
        <f t="shared" si="0"/>
        <v>75</v>
      </c>
      <c r="M24" s="10" t="str">
        <f>_xlfn.IFNA(IF(VLOOKUP(Patients!A24,Labs!$B$2:$D$201,3,FALSE)&gt;120,"High","Normal"),"Not Applicable")</f>
        <v>Not Applicable</v>
      </c>
      <c r="N24" s="12" t="str">
        <f t="shared" si="1"/>
        <v>Low Risk</v>
      </c>
    </row>
    <row r="25" spans="1:14" x14ac:dyDescent="0.2">
      <c r="A25" s="4">
        <v>24</v>
      </c>
      <c r="B25" s="10" t="s">
        <v>34</v>
      </c>
      <c r="C25" s="4">
        <v>73</v>
      </c>
      <c r="D25" s="10" t="s">
        <v>14</v>
      </c>
      <c r="E25" s="9">
        <v>3</v>
      </c>
      <c r="F25" s="5">
        <v>45693</v>
      </c>
      <c r="G25" s="5">
        <v>45749</v>
      </c>
      <c r="H25" s="4">
        <v>1</v>
      </c>
      <c r="I25" s="4">
        <v>5056</v>
      </c>
      <c r="J25" s="10" t="str">
        <f>VLOOKUP(E25,Diagnosis!$A$2:$B$11,2,FALSE)</f>
        <v>Heart Disease</v>
      </c>
      <c r="K25" s="10" t="str">
        <f>VLOOKUP(H25,Outcomes!$A$2:$B$4,2,FALSE)</f>
        <v>Recovered</v>
      </c>
      <c r="L25" s="9">
        <f t="shared" si="0"/>
        <v>56</v>
      </c>
      <c r="M25" s="10" t="str">
        <f>_xlfn.IFNA(IF(VLOOKUP(Patients!A25,Labs!$B$2:$D$201,3,FALSE)&gt;120,"High","Normal"),"Not Applicable")</f>
        <v>High</v>
      </c>
      <c r="N25" s="12" t="str">
        <f t="shared" si="1"/>
        <v>Low Risk</v>
      </c>
    </row>
    <row r="26" spans="1:14" x14ac:dyDescent="0.2">
      <c r="A26" s="4">
        <v>25</v>
      </c>
      <c r="B26" s="10" t="s">
        <v>35</v>
      </c>
      <c r="C26" s="4">
        <v>59</v>
      </c>
      <c r="D26" s="10" t="s">
        <v>10</v>
      </c>
      <c r="E26" s="9">
        <v>6</v>
      </c>
      <c r="F26" s="5">
        <v>45753</v>
      </c>
      <c r="G26" s="5">
        <v>45811</v>
      </c>
      <c r="H26" s="4">
        <v>3</v>
      </c>
      <c r="I26" s="4">
        <v>2603</v>
      </c>
      <c r="J26" s="10" t="str">
        <f>VLOOKUP(E26,Diagnosis!$A$2:$B$11,2,FALSE)</f>
        <v>COPD</v>
      </c>
      <c r="K26" s="10" t="str">
        <f>VLOOKUP(H26,Outcomes!$A$2:$B$4,2,FALSE)</f>
        <v>Deceased</v>
      </c>
      <c r="L26" s="9">
        <f t="shared" si="0"/>
        <v>58</v>
      </c>
      <c r="M26" s="10" t="str">
        <f>_xlfn.IFNA(IF(VLOOKUP(Patients!A26,Labs!$B$2:$D$201,3,FALSE)&gt;120,"High","Normal"),"Not Applicable")</f>
        <v>Normal</v>
      </c>
      <c r="N26" s="12" t="str">
        <f t="shared" si="1"/>
        <v>Low Risk</v>
      </c>
    </row>
    <row r="27" spans="1:14" x14ac:dyDescent="0.2">
      <c r="A27" s="4">
        <v>26</v>
      </c>
      <c r="B27" s="10" t="s">
        <v>36</v>
      </c>
      <c r="C27" s="4">
        <v>67</v>
      </c>
      <c r="D27" s="10" t="s">
        <v>10</v>
      </c>
      <c r="E27" s="9">
        <v>8</v>
      </c>
      <c r="F27" s="5">
        <v>45809</v>
      </c>
      <c r="G27" s="5">
        <v>45810</v>
      </c>
      <c r="H27" s="4">
        <v>2</v>
      </c>
      <c r="I27" s="4">
        <v>9966</v>
      </c>
      <c r="J27" s="10" t="str">
        <f>VLOOKUP(E27,Diagnosis!$A$2:$B$11,2,FALSE)</f>
        <v>Arthritis</v>
      </c>
      <c r="K27" s="10" t="str">
        <f>VLOOKUP(H27,Outcomes!$A$2:$B$4,2,FALSE)</f>
        <v>Complicated</v>
      </c>
      <c r="L27" s="9">
        <f t="shared" si="0"/>
        <v>1</v>
      </c>
      <c r="M27" s="10" t="str">
        <f>_xlfn.IFNA(IF(VLOOKUP(Patients!A27,Labs!$B$2:$D$201,3,FALSE)&gt;120,"High","Normal"),"Not Applicable")</f>
        <v>High</v>
      </c>
      <c r="N27" s="12" t="str">
        <f t="shared" si="1"/>
        <v>High Risk</v>
      </c>
    </row>
    <row r="28" spans="1:14" x14ac:dyDescent="0.2">
      <c r="A28" s="4">
        <v>27</v>
      </c>
      <c r="B28" s="10" t="s">
        <v>37</v>
      </c>
      <c r="C28" s="4">
        <v>31</v>
      </c>
      <c r="D28" s="10" t="s">
        <v>14</v>
      </c>
      <c r="E28" s="9">
        <v>2</v>
      </c>
      <c r="F28" s="5">
        <v>45808</v>
      </c>
      <c r="G28" s="5">
        <v>45809</v>
      </c>
      <c r="H28" s="4">
        <v>2</v>
      </c>
      <c r="I28" s="4">
        <v>5449</v>
      </c>
      <c r="J28" s="10" t="str">
        <f>VLOOKUP(E28,Diagnosis!$A$2:$B$11,2,FALSE)</f>
        <v>Diabetes</v>
      </c>
      <c r="K28" s="10" t="str">
        <f>VLOOKUP(H28,Outcomes!$A$2:$B$4,2,FALSE)</f>
        <v>Complicated</v>
      </c>
      <c r="L28" s="9">
        <f t="shared" si="0"/>
        <v>1</v>
      </c>
      <c r="M28" s="10" t="str">
        <f>_xlfn.IFNA(IF(VLOOKUP(Patients!A28,Labs!$B$2:$D$201,3,FALSE)&gt;120,"High","Normal"),"Not Applicable")</f>
        <v>High</v>
      </c>
      <c r="N28" s="12" t="str">
        <f t="shared" si="1"/>
        <v>Low Risk</v>
      </c>
    </row>
    <row r="29" spans="1:14" x14ac:dyDescent="0.2">
      <c r="A29" s="4">
        <v>28</v>
      </c>
      <c r="B29" s="10" t="s">
        <v>38</v>
      </c>
      <c r="C29" s="4">
        <v>89</v>
      </c>
      <c r="D29" s="10" t="s">
        <v>10</v>
      </c>
      <c r="E29" s="9">
        <v>5</v>
      </c>
      <c r="F29" s="5">
        <v>45694</v>
      </c>
      <c r="G29" s="5">
        <v>45776</v>
      </c>
      <c r="H29" s="4">
        <v>3</v>
      </c>
      <c r="I29" s="4">
        <v>8024</v>
      </c>
      <c r="J29" s="10" t="str">
        <f>VLOOKUP(E29,Diagnosis!$A$2:$B$11,2,FALSE)</f>
        <v>Stroke</v>
      </c>
      <c r="K29" s="10" t="str">
        <f>VLOOKUP(H29,Outcomes!$A$2:$B$4,2,FALSE)</f>
        <v>Deceased</v>
      </c>
      <c r="L29" s="9">
        <f t="shared" si="0"/>
        <v>82</v>
      </c>
      <c r="M29" s="10" t="str">
        <f>_xlfn.IFNA(IF(VLOOKUP(Patients!A29,Labs!$B$2:$D$201,3,FALSE)&gt;120,"High","Normal"),"Not Applicable")</f>
        <v>Not Applicable</v>
      </c>
      <c r="N29" s="12" t="str">
        <f t="shared" si="1"/>
        <v>High Risk</v>
      </c>
    </row>
    <row r="30" spans="1:14" x14ac:dyDescent="0.2">
      <c r="A30" s="4">
        <v>29</v>
      </c>
      <c r="B30" s="10" t="s">
        <v>39</v>
      </c>
      <c r="C30" s="4">
        <v>50</v>
      </c>
      <c r="D30" s="10" t="s">
        <v>10</v>
      </c>
      <c r="E30" s="9">
        <v>1</v>
      </c>
      <c r="F30" s="5">
        <v>45669</v>
      </c>
      <c r="G30" s="5">
        <v>45671</v>
      </c>
      <c r="H30" s="4">
        <v>3</v>
      </c>
      <c r="I30" s="4">
        <v>7109</v>
      </c>
      <c r="J30" s="10" t="str">
        <f>VLOOKUP(E30,Diagnosis!$A$2:$B$11,2,FALSE)</f>
        <v>Hypertension</v>
      </c>
      <c r="K30" s="10" t="str">
        <f>VLOOKUP(H30,Outcomes!$A$2:$B$4,2,FALSE)</f>
        <v>Deceased</v>
      </c>
      <c r="L30" s="9">
        <f t="shared" si="0"/>
        <v>2</v>
      </c>
      <c r="M30" s="10" t="str">
        <f>_xlfn.IFNA(IF(VLOOKUP(Patients!A30,Labs!$B$2:$D$201,3,FALSE)&gt;120,"High","Normal"),"Not Applicable")</f>
        <v>Normal</v>
      </c>
      <c r="N30" s="12" t="str">
        <f t="shared" si="1"/>
        <v>Low Risk</v>
      </c>
    </row>
    <row r="31" spans="1:14" x14ac:dyDescent="0.2">
      <c r="A31" s="4">
        <v>30</v>
      </c>
      <c r="B31" s="10" t="s">
        <v>40</v>
      </c>
      <c r="C31" s="4">
        <v>62</v>
      </c>
      <c r="D31" s="10" t="s">
        <v>10</v>
      </c>
      <c r="E31" s="9">
        <v>1</v>
      </c>
      <c r="F31" s="5">
        <v>45770</v>
      </c>
      <c r="G31" s="5">
        <v>45774</v>
      </c>
      <c r="H31" s="4">
        <v>2</v>
      </c>
      <c r="I31" s="4">
        <v>6146</v>
      </c>
      <c r="J31" s="10" t="str">
        <f>VLOOKUP(E31,Diagnosis!$A$2:$B$11,2,FALSE)</f>
        <v>Hypertension</v>
      </c>
      <c r="K31" s="10" t="str">
        <f>VLOOKUP(H31,Outcomes!$A$2:$B$4,2,FALSE)</f>
        <v>Complicated</v>
      </c>
      <c r="L31" s="9">
        <f t="shared" si="0"/>
        <v>4</v>
      </c>
      <c r="M31" s="10" t="str">
        <f>_xlfn.IFNA(IF(VLOOKUP(Patients!A31,Labs!$B$2:$D$201,3,FALSE)&gt;120,"High","Normal"),"Not Applicable")</f>
        <v>Not Applicable</v>
      </c>
      <c r="N31" s="12" t="str">
        <f t="shared" si="1"/>
        <v>Low Risk</v>
      </c>
    </row>
    <row r="32" spans="1:14" x14ac:dyDescent="0.2">
      <c r="A32" s="4">
        <v>31</v>
      </c>
      <c r="B32" s="10" t="s">
        <v>41</v>
      </c>
      <c r="C32" s="4">
        <v>41</v>
      </c>
      <c r="D32" s="10" t="s">
        <v>10</v>
      </c>
      <c r="E32" s="9">
        <v>5</v>
      </c>
      <c r="F32" s="5">
        <v>45670</v>
      </c>
      <c r="G32" s="5">
        <v>45839</v>
      </c>
      <c r="H32" s="4">
        <v>2</v>
      </c>
      <c r="I32" s="4">
        <v>9196</v>
      </c>
      <c r="J32" s="10" t="str">
        <f>VLOOKUP(E32,Diagnosis!$A$2:$B$11,2,FALSE)</f>
        <v>Stroke</v>
      </c>
      <c r="K32" s="10" t="str">
        <f>VLOOKUP(H32,Outcomes!$A$2:$B$4,2,FALSE)</f>
        <v>Complicated</v>
      </c>
      <c r="L32" s="9">
        <f t="shared" si="0"/>
        <v>169</v>
      </c>
      <c r="M32" s="10" t="str">
        <f>_xlfn.IFNA(IF(VLOOKUP(Patients!A32,Labs!$B$2:$D$201,3,FALSE)&gt;120,"High","Normal"),"Not Applicable")</f>
        <v>Normal</v>
      </c>
      <c r="N32" s="12" t="str">
        <f t="shared" si="1"/>
        <v>Low Risk</v>
      </c>
    </row>
    <row r="33" spans="1:14" x14ac:dyDescent="0.2">
      <c r="A33" s="4">
        <v>32</v>
      </c>
      <c r="B33" s="10" t="s">
        <v>42</v>
      </c>
      <c r="C33" s="4">
        <v>87</v>
      </c>
      <c r="D33" s="10" t="s">
        <v>14</v>
      </c>
      <c r="E33" s="9">
        <v>3</v>
      </c>
      <c r="F33" s="5">
        <v>45680</v>
      </c>
      <c r="G33" s="5">
        <v>45684</v>
      </c>
      <c r="H33" s="4">
        <v>1</v>
      </c>
      <c r="I33" s="4">
        <v>5533</v>
      </c>
      <c r="J33" s="10" t="str">
        <f>VLOOKUP(E33,Diagnosis!$A$2:$B$11,2,FALSE)</f>
        <v>Heart Disease</v>
      </c>
      <c r="K33" s="10" t="str">
        <f>VLOOKUP(H33,Outcomes!$A$2:$B$4,2,FALSE)</f>
        <v>Recovered</v>
      </c>
      <c r="L33" s="9">
        <f t="shared" si="0"/>
        <v>4</v>
      </c>
      <c r="M33" s="10" t="str">
        <f>_xlfn.IFNA(IF(VLOOKUP(Patients!A33,Labs!$B$2:$D$201,3,FALSE)&gt;120,"High","Normal"),"Not Applicable")</f>
        <v>Normal</v>
      </c>
      <c r="N33" s="12" t="str">
        <f t="shared" si="1"/>
        <v>Low Risk</v>
      </c>
    </row>
    <row r="34" spans="1:14" x14ac:dyDescent="0.2">
      <c r="A34" s="4">
        <v>33</v>
      </c>
      <c r="B34" s="10" t="s">
        <v>43</v>
      </c>
      <c r="C34" s="4">
        <v>51</v>
      </c>
      <c r="D34" s="10" t="s">
        <v>10</v>
      </c>
      <c r="E34" s="9">
        <v>4</v>
      </c>
      <c r="F34" s="5">
        <v>45756</v>
      </c>
      <c r="G34" s="5">
        <v>45779</v>
      </c>
      <c r="H34" s="4">
        <v>2</v>
      </c>
      <c r="I34" s="4">
        <v>5367</v>
      </c>
      <c r="J34" s="10" t="str">
        <f>VLOOKUP(E34,Diagnosis!$A$2:$B$11,2,FALSE)</f>
        <v>Asthma</v>
      </c>
      <c r="K34" s="10" t="str">
        <f>VLOOKUP(H34,Outcomes!$A$2:$B$4,2,FALSE)</f>
        <v>Complicated</v>
      </c>
      <c r="L34" s="9">
        <f t="shared" ref="L34:L65" si="2">DATEDIF(F34,G34,"d")</f>
        <v>23</v>
      </c>
      <c r="M34" s="10" t="str">
        <f>_xlfn.IFNA(IF(VLOOKUP(Patients!A34,Labs!$B$2:$D$201,3,FALSE)&gt;120,"High","Normal"),"Not Applicable")</f>
        <v>High</v>
      </c>
      <c r="N34" s="12" t="str">
        <f t="shared" ref="N34:N65" si="3">IF(AND(C34&gt;65,H34&lt;&gt;1),"High Risk","Low Risk")</f>
        <v>Low Risk</v>
      </c>
    </row>
    <row r="35" spans="1:14" x14ac:dyDescent="0.2">
      <c r="A35" s="4">
        <v>34</v>
      </c>
      <c r="B35" s="10" t="s">
        <v>44</v>
      </c>
      <c r="C35" s="4">
        <v>73</v>
      </c>
      <c r="D35" s="10" t="s">
        <v>14</v>
      </c>
      <c r="E35" s="9">
        <v>3</v>
      </c>
      <c r="F35" s="5">
        <v>45762</v>
      </c>
      <c r="G35" s="5">
        <v>45771</v>
      </c>
      <c r="H35" s="4">
        <v>2</v>
      </c>
      <c r="I35" s="4">
        <v>5368</v>
      </c>
      <c r="J35" s="10" t="str">
        <f>VLOOKUP(E35,Diagnosis!$A$2:$B$11,2,FALSE)</f>
        <v>Heart Disease</v>
      </c>
      <c r="K35" s="10" t="str">
        <f>VLOOKUP(H35,Outcomes!$A$2:$B$4,2,FALSE)</f>
        <v>Complicated</v>
      </c>
      <c r="L35" s="9">
        <f t="shared" si="2"/>
        <v>9</v>
      </c>
      <c r="M35" s="10" t="str">
        <f>_xlfn.IFNA(IF(VLOOKUP(Patients!A35,Labs!$B$2:$D$201,3,FALSE)&gt;120,"High","Normal"),"Not Applicable")</f>
        <v>Normal</v>
      </c>
      <c r="N35" s="12" t="str">
        <f t="shared" si="3"/>
        <v>High Risk</v>
      </c>
    </row>
    <row r="36" spans="1:14" x14ac:dyDescent="0.2">
      <c r="A36" s="4">
        <v>35</v>
      </c>
      <c r="B36" s="10" t="s">
        <v>45</v>
      </c>
      <c r="C36" s="4">
        <v>54</v>
      </c>
      <c r="D36" s="10" t="s">
        <v>10</v>
      </c>
      <c r="E36" s="9">
        <v>1</v>
      </c>
      <c r="F36" s="5">
        <v>45687</v>
      </c>
      <c r="G36" s="5">
        <v>45700</v>
      </c>
      <c r="H36" s="4">
        <v>3</v>
      </c>
      <c r="I36" s="4">
        <v>5797</v>
      </c>
      <c r="J36" s="10" t="str">
        <f>VLOOKUP(E36,Diagnosis!$A$2:$B$11,2,FALSE)</f>
        <v>Hypertension</v>
      </c>
      <c r="K36" s="10" t="str">
        <f>VLOOKUP(H36,Outcomes!$A$2:$B$4,2,FALSE)</f>
        <v>Deceased</v>
      </c>
      <c r="L36" s="9">
        <f t="shared" si="2"/>
        <v>13</v>
      </c>
      <c r="M36" s="10" t="str">
        <f>_xlfn.IFNA(IF(VLOOKUP(Patients!A36,Labs!$B$2:$D$201,3,FALSE)&gt;120,"High","Normal"),"Not Applicable")</f>
        <v>High</v>
      </c>
      <c r="N36" s="12" t="str">
        <f t="shared" si="3"/>
        <v>Low Risk</v>
      </c>
    </row>
    <row r="37" spans="1:14" x14ac:dyDescent="0.2">
      <c r="A37" s="4">
        <v>36</v>
      </c>
      <c r="B37" s="10" t="s">
        <v>46</v>
      </c>
      <c r="C37" s="4">
        <v>78</v>
      </c>
      <c r="D37" s="10" t="s">
        <v>10</v>
      </c>
      <c r="E37" s="9">
        <v>1</v>
      </c>
      <c r="F37" s="5">
        <v>45674</v>
      </c>
      <c r="G37" s="5">
        <v>45758</v>
      </c>
      <c r="H37" s="4">
        <v>2</v>
      </c>
      <c r="I37" s="4">
        <v>8922</v>
      </c>
      <c r="J37" s="10" t="str">
        <f>VLOOKUP(E37,Diagnosis!$A$2:$B$11,2,FALSE)</f>
        <v>Hypertension</v>
      </c>
      <c r="K37" s="10" t="str">
        <f>VLOOKUP(H37,Outcomes!$A$2:$B$4,2,FALSE)</f>
        <v>Complicated</v>
      </c>
      <c r="L37" s="9">
        <f t="shared" si="2"/>
        <v>84</v>
      </c>
      <c r="M37" s="10" t="str">
        <f>_xlfn.IFNA(IF(VLOOKUP(Patients!A37,Labs!$B$2:$D$201,3,FALSE)&gt;120,"High","Normal"),"Not Applicable")</f>
        <v>High</v>
      </c>
      <c r="N37" s="12" t="str">
        <f t="shared" si="3"/>
        <v>High Risk</v>
      </c>
    </row>
    <row r="38" spans="1:14" x14ac:dyDescent="0.2">
      <c r="A38" s="4">
        <v>37</v>
      </c>
      <c r="B38" s="10" t="s">
        <v>47</v>
      </c>
      <c r="C38" s="4">
        <v>56</v>
      </c>
      <c r="D38" s="10" t="s">
        <v>10</v>
      </c>
      <c r="E38" s="9">
        <v>5</v>
      </c>
      <c r="F38" s="5">
        <v>45770</v>
      </c>
      <c r="G38" s="5">
        <v>45780</v>
      </c>
      <c r="H38" s="4">
        <v>1</v>
      </c>
      <c r="I38" s="4">
        <v>7526</v>
      </c>
      <c r="J38" s="10" t="str">
        <f>VLOOKUP(E38,Diagnosis!$A$2:$B$11,2,FALSE)</f>
        <v>Stroke</v>
      </c>
      <c r="K38" s="10" t="str">
        <f>VLOOKUP(H38,Outcomes!$A$2:$B$4,2,FALSE)</f>
        <v>Recovered</v>
      </c>
      <c r="L38" s="9">
        <f t="shared" si="2"/>
        <v>10</v>
      </c>
      <c r="M38" s="10" t="str">
        <f>_xlfn.IFNA(IF(VLOOKUP(Patients!A38,Labs!$B$2:$D$201,3,FALSE)&gt;120,"High","Normal"),"Not Applicable")</f>
        <v>High</v>
      </c>
      <c r="N38" s="12" t="str">
        <f t="shared" si="3"/>
        <v>Low Risk</v>
      </c>
    </row>
    <row r="39" spans="1:14" x14ac:dyDescent="0.2">
      <c r="A39" s="4">
        <v>38</v>
      </c>
      <c r="B39" s="10" t="s">
        <v>48</v>
      </c>
      <c r="C39" s="4">
        <v>88</v>
      </c>
      <c r="D39" s="10" t="s">
        <v>10</v>
      </c>
      <c r="E39" s="9">
        <v>6</v>
      </c>
      <c r="F39" s="5">
        <v>45719</v>
      </c>
      <c r="G39" s="5">
        <v>45738</v>
      </c>
      <c r="H39" s="4">
        <v>2</v>
      </c>
      <c r="I39" s="4">
        <v>3792</v>
      </c>
      <c r="J39" s="10" t="str">
        <f>VLOOKUP(E39,Diagnosis!$A$2:$B$11,2,FALSE)</f>
        <v>COPD</v>
      </c>
      <c r="K39" s="10" t="str">
        <f>VLOOKUP(H39,Outcomes!$A$2:$B$4,2,FALSE)</f>
        <v>Complicated</v>
      </c>
      <c r="L39" s="9">
        <f t="shared" si="2"/>
        <v>19</v>
      </c>
      <c r="M39" s="10" t="str">
        <f>_xlfn.IFNA(IF(VLOOKUP(Patients!A39,Labs!$B$2:$D$201,3,FALSE)&gt;120,"High","Normal"),"Not Applicable")</f>
        <v>Not Applicable</v>
      </c>
      <c r="N39" s="12" t="str">
        <f t="shared" si="3"/>
        <v>High Risk</v>
      </c>
    </row>
    <row r="40" spans="1:14" x14ac:dyDescent="0.2">
      <c r="A40" s="4">
        <v>39</v>
      </c>
      <c r="B40" s="10" t="s">
        <v>49</v>
      </c>
      <c r="C40" s="4">
        <v>71</v>
      </c>
      <c r="D40" s="10" t="s">
        <v>14</v>
      </c>
      <c r="E40" s="9">
        <v>3</v>
      </c>
      <c r="F40" s="5">
        <v>45741</v>
      </c>
      <c r="G40" s="5">
        <v>45742</v>
      </c>
      <c r="H40" s="4">
        <v>3</v>
      </c>
      <c r="I40" s="4">
        <v>4861</v>
      </c>
      <c r="J40" s="10" t="str">
        <f>VLOOKUP(E40,Diagnosis!$A$2:$B$11,2,FALSE)</f>
        <v>Heart Disease</v>
      </c>
      <c r="K40" s="10" t="str">
        <f>VLOOKUP(H40,Outcomes!$A$2:$B$4,2,FALSE)</f>
        <v>Deceased</v>
      </c>
      <c r="L40" s="9">
        <f t="shared" si="2"/>
        <v>1</v>
      </c>
      <c r="M40" s="10" t="str">
        <f>_xlfn.IFNA(IF(VLOOKUP(Patients!A40,Labs!$B$2:$D$201,3,FALSE)&gt;120,"High","Normal"),"Not Applicable")</f>
        <v>High</v>
      </c>
      <c r="N40" s="12" t="str">
        <f t="shared" si="3"/>
        <v>High Risk</v>
      </c>
    </row>
    <row r="41" spans="1:14" x14ac:dyDescent="0.2">
      <c r="A41" s="4">
        <v>40</v>
      </c>
      <c r="B41" s="10" t="s">
        <v>50</v>
      </c>
      <c r="C41" s="4">
        <v>57</v>
      </c>
      <c r="D41" s="10" t="s">
        <v>14</v>
      </c>
      <c r="E41" s="9">
        <v>9</v>
      </c>
      <c r="F41" s="5">
        <v>45769</v>
      </c>
      <c r="G41" s="5">
        <v>45820</v>
      </c>
      <c r="H41" s="4">
        <v>3</v>
      </c>
      <c r="I41" s="4">
        <v>7732</v>
      </c>
      <c r="J41" s="10" t="str">
        <f>VLOOKUP(E41,Diagnosis!$A$2:$B$11,2,FALSE)</f>
        <v>Kidney Disease</v>
      </c>
      <c r="K41" s="10" t="str">
        <f>VLOOKUP(H41,Outcomes!$A$2:$B$4,2,FALSE)</f>
        <v>Deceased</v>
      </c>
      <c r="L41" s="9">
        <f t="shared" si="2"/>
        <v>51</v>
      </c>
      <c r="M41" s="10" t="str">
        <f>_xlfn.IFNA(IF(VLOOKUP(Patients!A41,Labs!$B$2:$D$201,3,FALSE)&gt;120,"High","Normal"),"Not Applicable")</f>
        <v>High</v>
      </c>
      <c r="N41" s="12" t="str">
        <f t="shared" si="3"/>
        <v>Low Risk</v>
      </c>
    </row>
    <row r="42" spans="1:14" x14ac:dyDescent="0.2">
      <c r="A42" s="4">
        <v>41</v>
      </c>
      <c r="B42" s="10" t="s">
        <v>51</v>
      </c>
      <c r="C42" s="4">
        <v>89</v>
      </c>
      <c r="D42" s="10" t="s">
        <v>10</v>
      </c>
      <c r="E42" s="9">
        <v>5</v>
      </c>
      <c r="F42" s="5">
        <v>45743</v>
      </c>
      <c r="G42" s="5">
        <v>45828</v>
      </c>
      <c r="H42" s="4">
        <v>2</v>
      </c>
      <c r="I42" s="4">
        <v>5476</v>
      </c>
      <c r="J42" s="10" t="str">
        <f>VLOOKUP(E42,Diagnosis!$A$2:$B$11,2,FALSE)</f>
        <v>Stroke</v>
      </c>
      <c r="K42" s="10" t="str">
        <f>VLOOKUP(H42,Outcomes!$A$2:$B$4,2,FALSE)</f>
        <v>Complicated</v>
      </c>
      <c r="L42" s="9">
        <f t="shared" si="2"/>
        <v>85</v>
      </c>
      <c r="M42" s="10" t="str">
        <f>_xlfn.IFNA(IF(VLOOKUP(Patients!A42,Labs!$B$2:$D$201,3,FALSE)&gt;120,"High","Normal"),"Not Applicable")</f>
        <v>High</v>
      </c>
      <c r="N42" s="12" t="str">
        <f t="shared" si="3"/>
        <v>High Risk</v>
      </c>
    </row>
    <row r="43" spans="1:14" x14ac:dyDescent="0.2">
      <c r="A43" s="4">
        <v>42</v>
      </c>
      <c r="B43" s="10" t="s">
        <v>52</v>
      </c>
      <c r="C43" s="4">
        <v>45</v>
      </c>
      <c r="D43" s="10" t="s">
        <v>10</v>
      </c>
      <c r="E43" s="9">
        <v>8</v>
      </c>
      <c r="F43" s="5">
        <v>45798</v>
      </c>
      <c r="G43" s="5">
        <v>45848</v>
      </c>
      <c r="H43" s="4">
        <v>3</v>
      </c>
      <c r="I43" s="4">
        <v>5417</v>
      </c>
      <c r="J43" s="10" t="str">
        <f>VLOOKUP(E43,Diagnosis!$A$2:$B$11,2,FALSE)</f>
        <v>Arthritis</v>
      </c>
      <c r="K43" s="10" t="str">
        <f>VLOOKUP(H43,Outcomes!$A$2:$B$4,2,FALSE)</f>
        <v>Deceased</v>
      </c>
      <c r="L43" s="9">
        <f t="shared" si="2"/>
        <v>50</v>
      </c>
      <c r="M43" s="10" t="str">
        <f>_xlfn.IFNA(IF(VLOOKUP(Patients!A43,Labs!$B$2:$D$201,3,FALSE)&gt;120,"High","Normal"),"Not Applicable")</f>
        <v>High</v>
      </c>
      <c r="N43" s="12" t="str">
        <f t="shared" si="3"/>
        <v>Low Risk</v>
      </c>
    </row>
    <row r="44" spans="1:14" x14ac:dyDescent="0.2">
      <c r="A44" s="4">
        <v>43</v>
      </c>
      <c r="B44" s="10" t="s">
        <v>53</v>
      </c>
      <c r="C44" s="4">
        <v>44</v>
      </c>
      <c r="D44" s="10" t="s">
        <v>14</v>
      </c>
      <c r="E44" s="9">
        <v>1</v>
      </c>
      <c r="F44" s="5">
        <v>45676</v>
      </c>
      <c r="G44" s="5">
        <v>45784</v>
      </c>
      <c r="H44" s="4">
        <v>1</v>
      </c>
      <c r="I44" s="4">
        <v>3645</v>
      </c>
      <c r="J44" s="10" t="str">
        <f>VLOOKUP(E44,Diagnosis!$A$2:$B$11,2,FALSE)</f>
        <v>Hypertension</v>
      </c>
      <c r="K44" s="10" t="str">
        <f>VLOOKUP(H44,Outcomes!$A$2:$B$4,2,FALSE)</f>
        <v>Recovered</v>
      </c>
      <c r="L44" s="9">
        <f t="shared" si="2"/>
        <v>108</v>
      </c>
      <c r="M44" s="10" t="str">
        <f>_xlfn.IFNA(IF(VLOOKUP(Patients!A44,Labs!$B$2:$D$201,3,FALSE)&gt;120,"High","Normal"),"Not Applicable")</f>
        <v>Not Applicable</v>
      </c>
      <c r="N44" s="12" t="str">
        <f t="shared" si="3"/>
        <v>Low Risk</v>
      </c>
    </row>
    <row r="45" spans="1:14" x14ac:dyDescent="0.2">
      <c r="A45" s="4">
        <v>44</v>
      </c>
      <c r="B45" s="10" t="s">
        <v>54</v>
      </c>
      <c r="C45" s="4">
        <v>76</v>
      </c>
      <c r="D45" s="10" t="s">
        <v>10</v>
      </c>
      <c r="E45" s="9">
        <v>5</v>
      </c>
      <c r="F45" s="5">
        <v>45834</v>
      </c>
      <c r="G45" s="5">
        <v>45843</v>
      </c>
      <c r="H45" s="4">
        <v>1</v>
      </c>
      <c r="I45" s="4">
        <v>8563</v>
      </c>
      <c r="J45" s="10" t="str">
        <f>VLOOKUP(E45,Diagnosis!$A$2:$B$11,2,FALSE)</f>
        <v>Stroke</v>
      </c>
      <c r="K45" s="10" t="str">
        <f>VLOOKUP(H45,Outcomes!$A$2:$B$4,2,FALSE)</f>
        <v>Recovered</v>
      </c>
      <c r="L45" s="9">
        <f t="shared" si="2"/>
        <v>9</v>
      </c>
      <c r="M45" s="10" t="str">
        <f>_xlfn.IFNA(IF(VLOOKUP(Patients!A45,Labs!$B$2:$D$201,3,FALSE)&gt;120,"High","Normal"),"Not Applicable")</f>
        <v>High</v>
      </c>
      <c r="N45" s="12" t="str">
        <f t="shared" si="3"/>
        <v>Low Risk</v>
      </c>
    </row>
    <row r="46" spans="1:14" x14ac:dyDescent="0.2">
      <c r="A46" s="4">
        <v>45</v>
      </c>
      <c r="B46" s="10" t="s">
        <v>55</v>
      </c>
      <c r="C46" s="4">
        <v>80</v>
      </c>
      <c r="D46" s="10" t="s">
        <v>10</v>
      </c>
      <c r="E46" s="9">
        <v>3</v>
      </c>
      <c r="F46" s="5">
        <v>45757</v>
      </c>
      <c r="G46" s="5">
        <v>45789</v>
      </c>
      <c r="H46" s="4">
        <v>2</v>
      </c>
      <c r="I46" s="4">
        <v>3205</v>
      </c>
      <c r="J46" s="10" t="str">
        <f>VLOOKUP(E46,Diagnosis!$A$2:$B$11,2,FALSE)</f>
        <v>Heart Disease</v>
      </c>
      <c r="K46" s="10" t="str">
        <f>VLOOKUP(H46,Outcomes!$A$2:$B$4,2,FALSE)</f>
        <v>Complicated</v>
      </c>
      <c r="L46" s="9">
        <f t="shared" si="2"/>
        <v>32</v>
      </c>
      <c r="M46" s="10" t="str">
        <f>_xlfn.IFNA(IF(VLOOKUP(Patients!A46,Labs!$B$2:$D$201,3,FALSE)&gt;120,"High","Normal"),"Not Applicable")</f>
        <v>Not Applicable</v>
      </c>
      <c r="N46" s="12" t="str">
        <f t="shared" si="3"/>
        <v>High Risk</v>
      </c>
    </row>
    <row r="47" spans="1:14" x14ac:dyDescent="0.2">
      <c r="A47" s="4">
        <v>46</v>
      </c>
      <c r="B47" s="10" t="s">
        <v>56</v>
      </c>
      <c r="C47" s="4">
        <v>73</v>
      </c>
      <c r="D47" s="10" t="s">
        <v>10</v>
      </c>
      <c r="E47" s="9">
        <v>1</v>
      </c>
      <c r="F47" s="5">
        <v>45797</v>
      </c>
      <c r="G47" s="5">
        <v>45801</v>
      </c>
      <c r="H47" s="4">
        <v>2</v>
      </c>
      <c r="I47" s="4">
        <v>5030</v>
      </c>
      <c r="J47" s="10" t="str">
        <f>VLOOKUP(E47,Diagnosis!$A$2:$B$11,2,FALSE)</f>
        <v>Hypertension</v>
      </c>
      <c r="K47" s="10" t="str">
        <f>VLOOKUP(H47,Outcomes!$A$2:$B$4,2,FALSE)</f>
        <v>Complicated</v>
      </c>
      <c r="L47" s="9">
        <f t="shared" si="2"/>
        <v>4</v>
      </c>
      <c r="M47" s="10" t="str">
        <f>_xlfn.IFNA(IF(VLOOKUP(Patients!A47,Labs!$B$2:$D$201,3,FALSE)&gt;120,"High","Normal"),"Not Applicable")</f>
        <v>Normal</v>
      </c>
      <c r="N47" s="12" t="str">
        <f t="shared" si="3"/>
        <v>High Risk</v>
      </c>
    </row>
    <row r="48" spans="1:14" x14ac:dyDescent="0.2">
      <c r="A48" s="4">
        <v>47</v>
      </c>
      <c r="B48" s="10" t="s">
        <v>57</v>
      </c>
      <c r="C48" s="4">
        <v>84</v>
      </c>
      <c r="D48" s="10" t="s">
        <v>14</v>
      </c>
      <c r="E48" s="9">
        <v>4</v>
      </c>
      <c r="F48" s="5">
        <v>45804</v>
      </c>
      <c r="G48" s="5">
        <v>45813</v>
      </c>
      <c r="H48" s="4">
        <v>2</v>
      </c>
      <c r="I48" s="4">
        <v>4872</v>
      </c>
      <c r="J48" s="10" t="str">
        <f>VLOOKUP(E48,Diagnosis!$A$2:$B$11,2,FALSE)</f>
        <v>Asthma</v>
      </c>
      <c r="K48" s="10" t="str">
        <f>VLOOKUP(H48,Outcomes!$A$2:$B$4,2,FALSE)</f>
        <v>Complicated</v>
      </c>
      <c r="L48" s="9">
        <f t="shared" si="2"/>
        <v>9</v>
      </c>
      <c r="M48" s="10" t="str">
        <f>_xlfn.IFNA(IF(VLOOKUP(Patients!A48,Labs!$B$2:$D$201,3,FALSE)&gt;120,"High","Normal"),"Not Applicable")</f>
        <v>High</v>
      </c>
      <c r="N48" s="12" t="str">
        <f t="shared" si="3"/>
        <v>High Risk</v>
      </c>
    </row>
    <row r="49" spans="1:14" x14ac:dyDescent="0.2">
      <c r="A49" s="4">
        <v>48</v>
      </c>
      <c r="B49" s="10" t="s">
        <v>58</v>
      </c>
      <c r="C49" s="4">
        <v>81</v>
      </c>
      <c r="D49" s="10" t="s">
        <v>14</v>
      </c>
      <c r="E49" s="9">
        <v>5</v>
      </c>
      <c r="F49" s="5">
        <v>45733</v>
      </c>
      <c r="G49" s="5">
        <v>45740</v>
      </c>
      <c r="H49" s="4">
        <v>3</v>
      </c>
      <c r="I49" s="4">
        <v>5072</v>
      </c>
      <c r="J49" s="10" t="str">
        <f>VLOOKUP(E49,Diagnosis!$A$2:$B$11,2,FALSE)</f>
        <v>Stroke</v>
      </c>
      <c r="K49" s="10" t="str">
        <f>VLOOKUP(H49,Outcomes!$A$2:$B$4,2,FALSE)</f>
        <v>Deceased</v>
      </c>
      <c r="L49" s="9">
        <f t="shared" si="2"/>
        <v>7</v>
      </c>
      <c r="M49" s="10" t="str">
        <f>_xlfn.IFNA(IF(VLOOKUP(Patients!A49,Labs!$B$2:$D$201,3,FALSE)&gt;120,"High","Normal"),"Not Applicable")</f>
        <v>Not Applicable</v>
      </c>
      <c r="N49" s="12" t="str">
        <f t="shared" si="3"/>
        <v>High Risk</v>
      </c>
    </row>
    <row r="50" spans="1:14" x14ac:dyDescent="0.2">
      <c r="A50" s="4">
        <v>49</v>
      </c>
      <c r="B50" s="10" t="s">
        <v>59</v>
      </c>
      <c r="C50" s="4">
        <v>86</v>
      </c>
      <c r="D50" s="10" t="s">
        <v>14</v>
      </c>
      <c r="E50" s="9">
        <v>7</v>
      </c>
      <c r="F50" s="5">
        <v>45666</v>
      </c>
      <c r="G50" s="5">
        <v>45799</v>
      </c>
      <c r="H50" s="4">
        <v>1</v>
      </c>
      <c r="I50" s="4">
        <v>3854</v>
      </c>
      <c r="J50" s="10" t="str">
        <f>VLOOKUP(E50,Diagnosis!$A$2:$B$11,2,FALSE)</f>
        <v>Cancer</v>
      </c>
      <c r="K50" s="10" t="str">
        <f>VLOOKUP(H50,Outcomes!$A$2:$B$4,2,FALSE)</f>
        <v>Recovered</v>
      </c>
      <c r="L50" s="9">
        <f t="shared" si="2"/>
        <v>133</v>
      </c>
      <c r="M50" s="10" t="str">
        <f>_xlfn.IFNA(IF(VLOOKUP(Patients!A50,Labs!$B$2:$D$201,3,FALSE)&gt;120,"High","Normal"),"Not Applicable")</f>
        <v>Normal</v>
      </c>
      <c r="N50" s="12" t="str">
        <f t="shared" si="3"/>
        <v>Low Risk</v>
      </c>
    </row>
    <row r="51" spans="1:14" x14ac:dyDescent="0.2">
      <c r="A51" s="4">
        <v>50</v>
      </c>
      <c r="B51" s="10" t="s">
        <v>60</v>
      </c>
      <c r="C51" s="4">
        <v>32</v>
      </c>
      <c r="D51" s="10" t="s">
        <v>10</v>
      </c>
      <c r="E51" s="9">
        <v>1</v>
      </c>
      <c r="F51" s="5">
        <v>45685</v>
      </c>
      <c r="G51" s="5">
        <v>45723</v>
      </c>
      <c r="H51" s="4">
        <v>1</v>
      </c>
      <c r="I51" s="4">
        <v>6021</v>
      </c>
      <c r="J51" s="10" t="str">
        <f>VLOOKUP(E51,Diagnosis!$A$2:$B$11,2,FALSE)</f>
        <v>Hypertension</v>
      </c>
      <c r="K51" s="10" t="str">
        <f>VLOOKUP(H51,Outcomes!$A$2:$B$4,2,FALSE)</f>
        <v>Recovered</v>
      </c>
      <c r="L51" s="9">
        <f t="shared" si="2"/>
        <v>38</v>
      </c>
      <c r="M51" s="10" t="str">
        <f>_xlfn.IFNA(IF(VLOOKUP(Patients!A51,Labs!$B$2:$D$201,3,FALSE)&gt;120,"High","Normal"),"Not Applicable")</f>
        <v>Not Applicable</v>
      </c>
      <c r="N51" s="12" t="str">
        <f t="shared" si="3"/>
        <v>Low Risk</v>
      </c>
    </row>
    <row r="52" spans="1:14" x14ac:dyDescent="0.2">
      <c r="A52" s="4">
        <v>51</v>
      </c>
      <c r="B52" s="10" t="s">
        <v>61</v>
      </c>
      <c r="C52" s="4">
        <v>66</v>
      </c>
      <c r="D52" s="10" t="s">
        <v>10</v>
      </c>
      <c r="E52" s="9">
        <v>3</v>
      </c>
      <c r="F52" s="5">
        <v>45785</v>
      </c>
      <c r="G52" s="5">
        <v>45811</v>
      </c>
      <c r="H52" s="4">
        <v>3</v>
      </c>
      <c r="I52" s="4">
        <v>6662</v>
      </c>
      <c r="J52" s="10" t="str">
        <f>VLOOKUP(E52,Diagnosis!$A$2:$B$11,2,FALSE)</f>
        <v>Heart Disease</v>
      </c>
      <c r="K52" s="10" t="str">
        <f>VLOOKUP(H52,Outcomes!$A$2:$B$4,2,FALSE)</f>
        <v>Deceased</v>
      </c>
      <c r="L52" s="9">
        <f t="shared" si="2"/>
        <v>26</v>
      </c>
      <c r="M52" s="10" t="str">
        <f>_xlfn.IFNA(IF(VLOOKUP(Patients!A52,Labs!$B$2:$D$201,3,FALSE)&gt;120,"High","Normal"),"Not Applicable")</f>
        <v>Normal</v>
      </c>
      <c r="N52" s="12" t="str">
        <f t="shared" si="3"/>
        <v>High Risk</v>
      </c>
    </row>
    <row r="53" spans="1:14" x14ac:dyDescent="0.2">
      <c r="A53" s="4">
        <v>52</v>
      </c>
      <c r="B53" s="10" t="s">
        <v>62</v>
      </c>
      <c r="C53" s="4">
        <v>80</v>
      </c>
      <c r="D53" s="10" t="s">
        <v>14</v>
      </c>
      <c r="E53" s="9">
        <v>2</v>
      </c>
      <c r="F53" s="5">
        <v>45709</v>
      </c>
      <c r="G53" s="5">
        <v>45778</v>
      </c>
      <c r="H53" s="4">
        <v>1</v>
      </c>
      <c r="I53" s="4">
        <v>8514</v>
      </c>
      <c r="J53" s="10" t="str">
        <f>VLOOKUP(E53,Diagnosis!$A$2:$B$11,2,FALSE)</f>
        <v>Diabetes</v>
      </c>
      <c r="K53" s="10" t="str">
        <f>VLOOKUP(H53,Outcomes!$A$2:$B$4,2,FALSE)</f>
        <v>Recovered</v>
      </c>
      <c r="L53" s="9">
        <f t="shared" si="2"/>
        <v>69</v>
      </c>
      <c r="M53" s="10" t="str">
        <f>_xlfn.IFNA(IF(VLOOKUP(Patients!A53,Labs!$B$2:$D$201,3,FALSE)&gt;120,"High","Normal"),"Not Applicable")</f>
        <v>Not Applicable</v>
      </c>
      <c r="N53" s="12" t="str">
        <f t="shared" si="3"/>
        <v>Low Risk</v>
      </c>
    </row>
    <row r="54" spans="1:14" x14ac:dyDescent="0.2">
      <c r="A54" s="4">
        <v>53</v>
      </c>
      <c r="B54" s="10" t="s">
        <v>63</v>
      </c>
      <c r="C54" s="4">
        <v>36</v>
      </c>
      <c r="D54" s="10" t="s">
        <v>14</v>
      </c>
      <c r="E54" s="9">
        <v>9</v>
      </c>
      <c r="F54" s="5">
        <v>45740</v>
      </c>
      <c r="G54" s="5">
        <v>45744</v>
      </c>
      <c r="H54" s="4">
        <v>2</v>
      </c>
      <c r="I54" s="4">
        <v>7031</v>
      </c>
      <c r="J54" s="10" t="str">
        <f>VLOOKUP(E54,Diagnosis!$A$2:$B$11,2,FALSE)</f>
        <v>Kidney Disease</v>
      </c>
      <c r="K54" s="10" t="str">
        <f>VLOOKUP(H54,Outcomes!$A$2:$B$4,2,FALSE)</f>
        <v>Complicated</v>
      </c>
      <c r="L54" s="9">
        <f t="shared" si="2"/>
        <v>4</v>
      </c>
      <c r="M54" s="10" t="str">
        <f>_xlfn.IFNA(IF(VLOOKUP(Patients!A54,Labs!$B$2:$D$201,3,FALSE)&gt;120,"High","Normal"),"Not Applicable")</f>
        <v>High</v>
      </c>
      <c r="N54" s="12" t="str">
        <f t="shared" si="3"/>
        <v>Low Risk</v>
      </c>
    </row>
    <row r="55" spans="1:14" x14ac:dyDescent="0.2">
      <c r="A55" s="4">
        <v>54</v>
      </c>
      <c r="B55" s="10" t="s">
        <v>64</v>
      </c>
      <c r="C55" s="4">
        <v>50</v>
      </c>
      <c r="D55" s="10" t="s">
        <v>14</v>
      </c>
      <c r="E55" s="9">
        <v>10</v>
      </c>
      <c r="F55" s="5">
        <v>45768</v>
      </c>
      <c r="G55" s="5">
        <v>45817</v>
      </c>
      <c r="H55" s="4">
        <v>2</v>
      </c>
      <c r="I55" s="4">
        <v>8030</v>
      </c>
      <c r="J55" s="10" t="str">
        <f>VLOOKUP(E55,Diagnosis!$A$2:$B$11,2,FALSE)</f>
        <v>Liver Disease</v>
      </c>
      <c r="K55" s="10" t="str">
        <f>VLOOKUP(H55,Outcomes!$A$2:$B$4,2,FALSE)</f>
        <v>Complicated</v>
      </c>
      <c r="L55" s="9">
        <f t="shared" si="2"/>
        <v>49</v>
      </c>
      <c r="M55" s="10" t="str">
        <f>_xlfn.IFNA(IF(VLOOKUP(Patients!A55,Labs!$B$2:$D$201,3,FALSE)&gt;120,"High","Normal"),"Not Applicable")</f>
        <v>High</v>
      </c>
      <c r="N55" s="12" t="str">
        <f t="shared" si="3"/>
        <v>Low Risk</v>
      </c>
    </row>
    <row r="56" spans="1:14" x14ac:dyDescent="0.2">
      <c r="A56" s="4">
        <v>55</v>
      </c>
      <c r="B56" s="10" t="s">
        <v>65</v>
      </c>
      <c r="C56" s="4">
        <v>38</v>
      </c>
      <c r="D56" s="10" t="s">
        <v>14</v>
      </c>
      <c r="E56" s="9">
        <v>6</v>
      </c>
      <c r="F56" s="5">
        <v>45801</v>
      </c>
      <c r="G56" s="5">
        <v>45809</v>
      </c>
      <c r="H56" s="4">
        <v>2</v>
      </c>
      <c r="I56" s="4">
        <v>4708</v>
      </c>
      <c r="J56" s="10" t="str">
        <f>VLOOKUP(E56,Diagnosis!$A$2:$B$11,2,FALSE)</f>
        <v>COPD</v>
      </c>
      <c r="K56" s="10" t="str">
        <f>VLOOKUP(H56,Outcomes!$A$2:$B$4,2,FALSE)</f>
        <v>Complicated</v>
      </c>
      <c r="L56" s="9">
        <f t="shared" si="2"/>
        <v>8</v>
      </c>
      <c r="M56" s="10" t="str">
        <f>_xlfn.IFNA(IF(VLOOKUP(Patients!A56,Labs!$B$2:$D$201,3,FALSE)&gt;120,"High","Normal"),"Not Applicable")</f>
        <v>High</v>
      </c>
      <c r="N56" s="12" t="str">
        <f t="shared" si="3"/>
        <v>Low Risk</v>
      </c>
    </row>
    <row r="57" spans="1:14" x14ac:dyDescent="0.2">
      <c r="A57" s="4">
        <v>56</v>
      </c>
      <c r="B57" s="10" t="s">
        <v>66</v>
      </c>
      <c r="C57" s="4">
        <v>68</v>
      </c>
      <c r="D57" s="10" t="s">
        <v>10</v>
      </c>
      <c r="E57" s="9">
        <v>10</v>
      </c>
      <c r="F57" s="5">
        <v>45774</v>
      </c>
      <c r="G57" s="5">
        <v>45808</v>
      </c>
      <c r="H57" s="4">
        <v>1</v>
      </c>
      <c r="I57" s="4">
        <v>5502</v>
      </c>
      <c r="J57" s="10" t="str">
        <f>VLOOKUP(E57,Diagnosis!$A$2:$B$11,2,FALSE)</f>
        <v>Liver Disease</v>
      </c>
      <c r="K57" s="10" t="str">
        <f>VLOOKUP(H57,Outcomes!$A$2:$B$4,2,FALSE)</f>
        <v>Recovered</v>
      </c>
      <c r="L57" s="9">
        <f t="shared" si="2"/>
        <v>34</v>
      </c>
      <c r="M57" s="10" t="str">
        <f>_xlfn.IFNA(IF(VLOOKUP(Patients!A57,Labs!$B$2:$D$201,3,FALSE)&gt;120,"High","Normal"),"Not Applicable")</f>
        <v>High</v>
      </c>
      <c r="N57" s="12" t="str">
        <f t="shared" si="3"/>
        <v>Low Risk</v>
      </c>
    </row>
    <row r="58" spans="1:14" x14ac:dyDescent="0.2">
      <c r="A58" s="4">
        <v>57</v>
      </c>
      <c r="B58" s="10" t="s">
        <v>67</v>
      </c>
      <c r="C58" s="4">
        <v>47</v>
      </c>
      <c r="D58" s="10" t="s">
        <v>14</v>
      </c>
      <c r="E58" s="9">
        <v>3</v>
      </c>
      <c r="F58" s="5">
        <v>45726</v>
      </c>
      <c r="G58" s="5">
        <v>45732</v>
      </c>
      <c r="H58" s="4">
        <v>2</v>
      </c>
      <c r="I58" s="4">
        <v>9112</v>
      </c>
      <c r="J58" s="10" t="str">
        <f>VLOOKUP(E58,Diagnosis!$A$2:$B$11,2,FALSE)</f>
        <v>Heart Disease</v>
      </c>
      <c r="K58" s="10" t="str">
        <f>VLOOKUP(H58,Outcomes!$A$2:$B$4,2,FALSE)</f>
        <v>Complicated</v>
      </c>
      <c r="L58" s="9">
        <f t="shared" si="2"/>
        <v>6</v>
      </c>
      <c r="M58" s="10" t="str">
        <f>_xlfn.IFNA(IF(VLOOKUP(Patients!A58,Labs!$B$2:$D$201,3,FALSE)&gt;120,"High","Normal"),"Not Applicable")</f>
        <v>High</v>
      </c>
      <c r="N58" s="12" t="str">
        <f t="shared" si="3"/>
        <v>Low Risk</v>
      </c>
    </row>
    <row r="59" spans="1:14" x14ac:dyDescent="0.2">
      <c r="A59" s="4">
        <v>58</v>
      </c>
      <c r="B59" s="10" t="s">
        <v>68</v>
      </c>
      <c r="C59" s="4">
        <v>33</v>
      </c>
      <c r="D59" s="10" t="s">
        <v>10</v>
      </c>
      <c r="E59" s="9">
        <v>8</v>
      </c>
      <c r="F59" s="5">
        <v>45756</v>
      </c>
      <c r="G59" s="5">
        <v>45766</v>
      </c>
      <c r="H59" s="4">
        <v>3</v>
      </c>
      <c r="I59" s="4">
        <v>3332</v>
      </c>
      <c r="J59" s="10" t="str">
        <f>VLOOKUP(E59,Diagnosis!$A$2:$B$11,2,FALSE)</f>
        <v>Arthritis</v>
      </c>
      <c r="K59" s="10" t="str">
        <f>VLOOKUP(H59,Outcomes!$A$2:$B$4,2,FALSE)</f>
        <v>Deceased</v>
      </c>
      <c r="L59" s="9">
        <f t="shared" si="2"/>
        <v>10</v>
      </c>
      <c r="M59" s="10" t="str">
        <f>_xlfn.IFNA(IF(VLOOKUP(Patients!A59,Labs!$B$2:$D$201,3,FALSE)&gt;120,"High","Normal"),"Not Applicable")</f>
        <v>Not Applicable</v>
      </c>
      <c r="N59" s="12" t="str">
        <f t="shared" si="3"/>
        <v>Low Risk</v>
      </c>
    </row>
    <row r="60" spans="1:14" x14ac:dyDescent="0.2">
      <c r="A60" s="4">
        <v>59</v>
      </c>
      <c r="B60" s="10" t="s">
        <v>69</v>
      </c>
      <c r="C60" s="4">
        <v>54</v>
      </c>
      <c r="D60" s="10" t="s">
        <v>14</v>
      </c>
      <c r="E60" s="9">
        <v>8</v>
      </c>
      <c r="F60" s="5">
        <v>45797</v>
      </c>
      <c r="G60" s="5">
        <v>45845</v>
      </c>
      <c r="H60" s="4">
        <v>3</v>
      </c>
      <c r="I60" s="4">
        <v>9304</v>
      </c>
      <c r="J60" s="10" t="str">
        <f>VLOOKUP(E60,Diagnosis!$A$2:$B$11,2,FALSE)</f>
        <v>Arthritis</v>
      </c>
      <c r="K60" s="10" t="str">
        <f>VLOOKUP(H60,Outcomes!$A$2:$B$4,2,FALSE)</f>
        <v>Deceased</v>
      </c>
      <c r="L60" s="9">
        <f t="shared" si="2"/>
        <v>48</v>
      </c>
      <c r="M60" s="10" t="str">
        <f>_xlfn.IFNA(IF(VLOOKUP(Patients!A60,Labs!$B$2:$D$201,3,FALSE)&gt;120,"High","Normal"),"Not Applicable")</f>
        <v>High</v>
      </c>
      <c r="N60" s="12" t="str">
        <f t="shared" si="3"/>
        <v>Low Risk</v>
      </c>
    </row>
    <row r="61" spans="1:14" x14ac:dyDescent="0.2">
      <c r="A61" s="4">
        <v>60</v>
      </c>
      <c r="B61" s="10" t="s">
        <v>70</v>
      </c>
      <c r="C61" s="4">
        <v>89</v>
      </c>
      <c r="D61" s="10" t="s">
        <v>10</v>
      </c>
      <c r="E61" s="9">
        <v>2</v>
      </c>
      <c r="F61" s="5">
        <v>45682</v>
      </c>
      <c r="G61" s="5">
        <v>45769</v>
      </c>
      <c r="H61" s="4">
        <v>1</v>
      </c>
      <c r="I61" s="4">
        <v>2201</v>
      </c>
      <c r="J61" s="10" t="str">
        <f>VLOOKUP(E61,Diagnosis!$A$2:$B$11,2,FALSE)</f>
        <v>Diabetes</v>
      </c>
      <c r="K61" s="10" t="str">
        <f>VLOOKUP(H61,Outcomes!$A$2:$B$4,2,FALSE)</f>
        <v>Recovered</v>
      </c>
      <c r="L61" s="9">
        <f t="shared" si="2"/>
        <v>87</v>
      </c>
      <c r="M61" s="10" t="str">
        <f>_xlfn.IFNA(IF(VLOOKUP(Patients!A61,Labs!$B$2:$D$201,3,FALSE)&gt;120,"High","Normal"),"Not Applicable")</f>
        <v>Not Applicable</v>
      </c>
      <c r="N61" s="12" t="str">
        <f t="shared" si="3"/>
        <v>Low Risk</v>
      </c>
    </row>
    <row r="62" spans="1:14" x14ac:dyDescent="0.2">
      <c r="A62" s="4">
        <v>61</v>
      </c>
      <c r="B62" s="10" t="s">
        <v>71</v>
      </c>
      <c r="C62" s="4">
        <v>43</v>
      </c>
      <c r="D62" s="10" t="s">
        <v>14</v>
      </c>
      <c r="E62" s="9">
        <v>6</v>
      </c>
      <c r="F62" s="5">
        <v>45837</v>
      </c>
      <c r="G62" s="5">
        <v>45842</v>
      </c>
      <c r="H62" s="4">
        <v>3</v>
      </c>
      <c r="I62" s="4">
        <v>5507</v>
      </c>
      <c r="J62" s="10" t="str">
        <f>VLOOKUP(E62,Diagnosis!$A$2:$B$11,2,FALSE)</f>
        <v>COPD</v>
      </c>
      <c r="K62" s="10" t="str">
        <f>VLOOKUP(H62,Outcomes!$A$2:$B$4,2,FALSE)</f>
        <v>Deceased</v>
      </c>
      <c r="L62" s="9">
        <f t="shared" si="2"/>
        <v>5</v>
      </c>
      <c r="M62" s="10" t="str">
        <f>_xlfn.IFNA(IF(VLOOKUP(Patients!A62,Labs!$B$2:$D$201,3,FALSE)&gt;120,"High","Normal"),"Not Applicable")</f>
        <v>High</v>
      </c>
      <c r="N62" s="12" t="str">
        <f t="shared" si="3"/>
        <v>Low Risk</v>
      </c>
    </row>
    <row r="63" spans="1:14" x14ac:dyDescent="0.2">
      <c r="A63" s="4">
        <v>62</v>
      </c>
      <c r="B63" s="10" t="s">
        <v>72</v>
      </c>
      <c r="C63" s="4">
        <v>79</v>
      </c>
      <c r="D63" s="10" t="s">
        <v>14</v>
      </c>
      <c r="E63" s="9">
        <v>7</v>
      </c>
      <c r="F63" s="5">
        <v>45780</v>
      </c>
      <c r="G63" s="5">
        <v>45781</v>
      </c>
      <c r="H63" s="4">
        <v>3</v>
      </c>
      <c r="I63" s="4">
        <v>8456</v>
      </c>
      <c r="J63" s="10" t="str">
        <f>VLOOKUP(E63,Diagnosis!$A$2:$B$11,2,FALSE)</f>
        <v>Cancer</v>
      </c>
      <c r="K63" s="10" t="str">
        <f>VLOOKUP(H63,Outcomes!$A$2:$B$4,2,FALSE)</f>
        <v>Deceased</v>
      </c>
      <c r="L63" s="9">
        <f t="shared" si="2"/>
        <v>1</v>
      </c>
      <c r="M63" s="10" t="str">
        <f>_xlfn.IFNA(IF(VLOOKUP(Patients!A63,Labs!$B$2:$D$201,3,FALSE)&gt;120,"High","Normal"),"Not Applicable")</f>
        <v>Normal</v>
      </c>
      <c r="N63" s="12" t="str">
        <f t="shared" si="3"/>
        <v>High Risk</v>
      </c>
    </row>
    <row r="64" spans="1:14" x14ac:dyDescent="0.2">
      <c r="A64" s="4">
        <v>63</v>
      </c>
      <c r="B64" s="10" t="s">
        <v>73</v>
      </c>
      <c r="C64" s="4">
        <v>87</v>
      </c>
      <c r="D64" s="10" t="s">
        <v>14</v>
      </c>
      <c r="E64" s="9">
        <v>2</v>
      </c>
      <c r="F64" s="5">
        <v>45710</v>
      </c>
      <c r="G64" s="5">
        <v>45716</v>
      </c>
      <c r="H64" s="4">
        <v>1</v>
      </c>
      <c r="I64" s="4">
        <v>6212</v>
      </c>
      <c r="J64" s="10" t="str">
        <f>VLOOKUP(E64,Diagnosis!$A$2:$B$11,2,FALSE)</f>
        <v>Diabetes</v>
      </c>
      <c r="K64" s="10" t="str">
        <f>VLOOKUP(H64,Outcomes!$A$2:$B$4,2,FALSE)</f>
        <v>Recovered</v>
      </c>
      <c r="L64" s="9">
        <f t="shared" si="2"/>
        <v>6</v>
      </c>
      <c r="M64" s="10" t="str">
        <f>_xlfn.IFNA(IF(VLOOKUP(Patients!A64,Labs!$B$2:$D$201,3,FALSE)&gt;120,"High","Normal"),"Not Applicable")</f>
        <v>Not Applicable</v>
      </c>
      <c r="N64" s="12" t="str">
        <f t="shared" si="3"/>
        <v>Low Risk</v>
      </c>
    </row>
    <row r="65" spans="1:14" x14ac:dyDescent="0.2">
      <c r="A65" s="4">
        <v>64</v>
      </c>
      <c r="B65" s="10" t="s">
        <v>74</v>
      </c>
      <c r="C65" s="4">
        <v>38</v>
      </c>
      <c r="D65" s="10" t="s">
        <v>14</v>
      </c>
      <c r="E65" s="9">
        <v>10</v>
      </c>
      <c r="F65" s="5">
        <v>45808</v>
      </c>
      <c r="G65" s="5">
        <v>45811</v>
      </c>
      <c r="H65" s="4">
        <v>2</v>
      </c>
      <c r="I65" s="4">
        <v>9833</v>
      </c>
      <c r="J65" s="10" t="str">
        <f>VLOOKUP(E65,Diagnosis!$A$2:$B$11,2,FALSE)</f>
        <v>Liver Disease</v>
      </c>
      <c r="K65" s="10" t="str">
        <f>VLOOKUP(H65,Outcomes!$A$2:$B$4,2,FALSE)</f>
        <v>Complicated</v>
      </c>
      <c r="L65" s="9">
        <f t="shared" si="2"/>
        <v>3</v>
      </c>
      <c r="M65" s="10" t="str">
        <f>_xlfn.IFNA(IF(VLOOKUP(Patients!A65,Labs!$B$2:$D$201,3,FALSE)&gt;120,"High","Normal"),"Not Applicable")</f>
        <v>Normal</v>
      </c>
      <c r="N65" s="12" t="str">
        <f t="shared" si="3"/>
        <v>Low Risk</v>
      </c>
    </row>
    <row r="66" spans="1:14" x14ac:dyDescent="0.2">
      <c r="A66" s="4">
        <v>65</v>
      </c>
      <c r="B66" s="10" t="s">
        <v>75</v>
      </c>
      <c r="C66" s="4">
        <v>55</v>
      </c>
      <c r="D66" s="10" t="s">
        <v>10</v>
      </c>
      <c r="E66" s="9">
        <v>2</v>
      </c>
      <c r="F66" s="5">
        <v>45801</v>
      </c>
      <c r="G66" s="5">
        <v>45808</v>
      </c>
      <c r="H66" s="4">
        <v>2</v>
      </c>
      <c r="I66" s="4">
        <v>7032</v>
      </c>
      <c r="J66" s="10" t="str">
        <f>VLOOKUP(E66,Diagnosis!$A$2:$B$11,2,FALSE)</f>
        <v>Diabetes</v>
      </c>
      <c r="K66" s="10" t="str">
        <f>VLOOKUP(H66,Outcomes!$A$2:$B$4,2,FALSE)</f>
        <v>Complicated</v>
      </c>
      <c r="L66" s="9">
        <f t="shared" ref="L66:L97" si="4">DATEDIF(F66,G66,"d")</f>
        <v>7</v>
      </c>
      <c r="M66" s="10" t="str">
        <f>_xlfn.IFNA(IF(VLOOKUP(Patients!A66,Labs!$B$2:$D$201,3,FALSE)&gt;120,"High","Normal"),"Not Applicable")</f>
        <v>Not Applicable</v>
      </c>
      <c r="N66" s="12" t="str">
        <f t="shared" ref="N66:N97" si="5">IF(AND(C66&gt;65,H66&lt;&gt;1),"High Risk","Low Risk")</f>
        <v>Low Risk</v>
      </c>
    </row>
    <row r="67" spans="1:14" x14ac:dyDescent="0.2">
      <c r="A67" s="4">
        <v>66</v>
      </c>
      <c r="B67" s="10" t="s">
        <v>76</v>
      </c>
      <c r="C67" s="4">
        <v>82</v>
      </c>
      <c r="D67" s="10" t="s">
        <v>14</v>
      </c>
      <c r="E67" s="9">
        <v>10</v>
      </c>
      <c r="F67" s="5">
        <v>45714</v>
      </c>
      <c r="G67" s="5">
        <v>45720</v>
      </c>
      <c r="H67" s="4">
        <v>2</v>
      </c>
      <c r="I67" s="4">
        <v>9970</v>
      </c>
      <c r="J67" s="10" t="str">
        <f>VLOOKUP(E67,Diagnosis!$A$2:$B$11,2,FALSE)</f>
        <v>Liver Disease</v>
      </c>
      <c r="K67" s="10" t="str">
        <f>VLOOKUP(H67,Outcomes!$A$2:$B$4,2,FALSE)</f>
        <v>Complicated</v>
      </c>
      <c r="L67" s="9">
        <f t="shared" si="4"/>
        <v>6</v>
      </c>
      <c r="M67" s="10" t="str">
        <f>_xlfn.IFNA(IF(VLOOKUP(Patients!A67,Labs!$B$2:$D$201,3,FALSE)&gt;120,"High","Normal"),"Not Applicable")</f>
        <v>Not Applicable</v>
      </c>
      <c r="N67" s="12" t="str">
        <f t="shared" si="5"/>
        <v>High Risk</v>
      </c>
    </row>
    <row r="68" spans="1:14" x14ac:dyDescent="0.2">
      <c r="A68" s="4">
        <v>67</v>
      </c>
      <c r="B68" s="10" t="s">
        <v>77</v>
      </c>
      <c r="C68" s="4">
        <v>31</v>
      </c>
      <c r="D68" s="10" t="s">
        <v>10</v>
      </c>
      <c r="E68" s="9">
        <v>1</v>
      </c>
      <c r="F68" s="5">
        <v>45696</v>
      </c>
      <c r="G68" s="5">
        <v>45745</v>
      </c>
      <c r="H68" s="4">
        <v>1</v>
      </c>
      <c r="I68" s="4">
        <v>2574</v>
      </c>
      <c r="J68" s="10" t="str">
        <f>VLOOKUP(E68,Diagnosis!$A$2:$B$11,2,FALSE)</f>
        <v>Hypertension</v>
      </c>
      <c r="K68" s="10" t="str">
        <f>VLOOKUP(H68,Outcomes!$A$2:$B$4,2,FALSE)</f>
        <v>Recovered</v>
      </c>
      <c r="L68" s="9">
        <f t="shared" si="4"/>
        <v>49</v>
      </c>
      <c r="M68" s="10" t="str">
        <f>_xlfn.IFNA(IF(VLOOKUP(Patients!A68,Labs!$B$2:$D$201,3,FALSE)&gt;120,"High","Normal"),"Not Applicable")</f>
        <v>Not Applicable</v>
      </c>
      <c r="N68" s="12" t="str">
        <f t="shared" si="5"/>
        <v>Low Risk</v>
      </c>
    </row>
    <row r="69" spans="1:14" x14ac:dyDescent="0.2">
      <c r="A69" s="4">
        <v>68</v>
      </c>
      <c r="B69" s="10" t="s">
        <v>78</v>
      </c>
      <c r="C69" s="4">
        <v>49</v>
      </c>
      <c r="D69" s="10" t="s">
        <v>10</v>
      </c>
      <c r="E69" s="9">
        <v>8</v>
      </c>
      <c r="F69" s="5">
        <v>45766</v>
      </c>
      <c r="G69" s="5">
        <v>45771</v>
      </c>
      <c r="H69" s="4">
        <v>3</v>
      </c>
      <c r="I69" s="4">
        <v>8387</v>
      </c>
      <c r="J69" s="10" t="str">
        <f>VLOOKUP(E69,Diagnosis!$A$2:$B$11,2,FALSE)</f>
        <v>Arthritis</v>
      </c>
      <c r="K69" s="10" t="str">
        <f>VLOOKUP(H69,Outcomes!$A$2:$B$4,2,FALSE)</f>
        <v>Deceased</v>
      </c>
      <c r="L69" s="9">
        <f t="shared" si="4"/>
        <v>5</v>
      </c>
      <c r="M69" s="10" t="str">
        <f>_xlfn.IFNA(IF(VLOOKUP(Patients!A69,Labs!$B$2:$D$201,3,FALSE)&gt;120,"High","Normal"),"Not Applicable")</f>
        <v>Not Applicable</v>
      </c>
      <c r="N69" s="12" t="str">
        <f t="shared" si="5"/>
        <v>Low Risk</v>
      </c>
    </row>
    <row r="70" spans="1:14" x14ac:dyDescent="0.2">
      <c r="A70" s="4">
        <v>69</v>
      </c>
      <c r="B70" s="10" t="s">
        <v>79</v>
      </c>
      <c r="C70" s="4">
        <v>57</v>
      </c>
      <c r="D70" s="10" t="s">
        <v>10</v>
      </c>
      <c r="E70" s="9">
        <v>1</v>
      </c>
      <c r="F70" s="5">
        <v>45838</v>
      </c>
      <c r="G70" s="5">
        <v>45845</v>
      </c>
      <c r="H70" s="4">
        <v>2</v>
      </c>
      <c r="I70" s="4">
        <v>2536</v>
      </c>
      <c r="J70" s="10" t="str">
        <f>VLOOKUP(E70,Diagnosis!$A$2:$B$11,2,FALSE)</f>
        <v>Hypertension</v>
      </c>
      <c r="K70" s="10" t="str">
        <f>VLOOKUP(H70,Outcomes!$A$2:$B$4,2,FALSE)</f>
        <v>Complicated</v>
      </c>
      <c r="L70" s="9">
        <f t="shared" si="4"/>
        <v>7</v>
      </c>
      <c r="M70" s="10" t="str">
        <f>_xlfn.IFNA(IF(VLOOKUP(Patients!A70,Labs!$B$2:$D$201,3,FALSE)&gt;120,"High","Normal"),"Not Applicable")</f>
        <v>Normal</v>
      </c>
      <c r="N70" s="12" t="str">
        <f t="shared" si="5"/>
        <v>Low Risk</v>
      </c>
    </row>
    <row r="71" spans="1:14" x14ac:dyDescent="0.2">
      <c r="A71" s="4">
        <v>70</v>
      </c>
      <c r="B71" s="10" t="s">
        <v>80</v>
      </c>
      <c r="C71" s="4">
        <v>76</v>
      </c>
      <c r="D71" s="10" t="s">
        <v>10</v>
      </c>
      <c r="E71" s="9">
        <v>9</v>
      </c>
      <c r="F71" s="5">
        <v>45699</v>
      </c>
      <c r="G71" s="5">
        <v>45718</v>
      </c>
      <c r="H71" s="4">
        <v>2</v>
      </c>
      <c r="I71" s="4">
        <v>3625</v>
      </c>
      <c r="J71" s="10" t="str">
        <f>VLOOKUP(E71,Diagnosis!$A$2:$B$11,2,FALSE)</f>
        <v>Kidney Disease</v>
      </c>
      <c r="K71" s="10" t="str">
        <f>VLOOKUP(H71,Outcomes!$A$2:$B$4,2,FALSE)</f>
        <v>Complicated</v>
      </c>
      <c r="L71" s="9">
        <f t="shared" si="4"/>
        <v>19</v>
      </c>
      <c r="M71" s="10" t="str">
        <f>_xlfn.IFNA(IF(VLOOKUP(Patients!A71,Labs!$B$2:$D$201,3,FALSE)&gt;120,"High","Normal"),"Not Applicable")</f>
        <v>Normal</v>
      </c>
      <c r="N71" s="12" t="str">
        <f t="shared" si="5"/>
        <v>High Risk</v>
      </c>
    </row>
    <row r="72" spans="1:14" x14ac:dyDescent="0.2">
      <c r="A72" s="4">
        <v>71</v>
      </c>
      <c r="B72" s="10" t="s">
        <v>81</v>
      </c>
      <c r="C72" s="4">
        <v>89</v>
      </c>
      <c r="D72" s="10" t="s">
        <v>14</v>
      </c>
      <c r="E72" s="9">
        <v>6</v>
      </c>
      <c r="F72" s="5">
        <v>45824</v>
      </c>
      <c r="G72" s="5">
        <v>45832</v>
      </c>
      <c r="H72" s="4">
        <v>1</v>
      </c>
      <c r="I72" s="4">
        <v>4122</v>
      </c>
      <c r="J72" s="10" t="str">
        <f>VLOOKUP(E72,Diagnosis!$A$2:$B$11,2,FALSE)</f>
        <v>COPD</v>
      </c>
      <c r="K72" s="10" t="str">
        <f>VLOOKUP(H72,Outcomes!$A$2:$B$4,2,FALSE)</f>
        <v>Recovered</v>
      </c>
      <c r="L72" s="9">
        <f t="shared" si="4"/>
        <v>8</v>
      </c>
      <c r="M72" s="10" t="str">
        <f>_xlfn.IFNA(IF(VLOOKUP(Patients!A72,Labs!$B$2:$D$201,3,FALSE)&gt;120,"High","Normal"),"Not Applicable")</f>
        <v>Not Applicable</v>
      </c>
      <c r="N72" s="12" t="str">
        <f t="shared" si="5"/>
        <v>Low Risk</v>
      </c>
    </row>
    <row r="73" spans="1:14" x14ac:dyDescent="0.2">
      <c r="A73" s="4">
        <v>72</v>
      </c>
      <c r="B73" s="10" t="s">
        <v>82</v>
      </c>
      <c r="C73" s="4">
        <v>36</v>
      </c>
      <c r="D73" s="10" t="s">
        <v>10</v>
      </c>
      <c r="E73" s="9">
        <v>7</v>
      </c>
      <c r="F73" s="5">
        <v>45799</v>
      </c>
      <c r="G73" s="5">
        <v>45802</v>
      </c>
      <c r="H73" s="4">
        <v>2</v>
      </c>
      <c r="I73" s="4">
        <v>9973</v>
      </c>
      <c r="J73" s="10" t="str">
        <f>VLOOKUP(E73,Diagnosis!$A$2:$B$11,2,FALSE)</f>
        <v>Cancer</v>
      </c>
      <c r="K73" s="10" t="str">
        <f>VLOOKUP(H73,Outcomes!$A$2:$B$4,2,FALSE)</f>
        <v>Complicated</v>
      </c>
      <c r="L73" s="9">
        <f t="shared" si="4"/>
        <v>3</v>
      </c>
      <c r="M73" s="10" t="str">
        <f>_xlfn.IFNA(IF(VLOOKUP(Patients!A73,Labs!$B$2:$D$201,3,FALSE)&gt;120,"High","Normal"),"Not Applicable")</f>
        <v>High</v>
      </c>
      <c r="N73" s="12" t="str">
        <f t="shared" si="5"/>
        <v>Low Risk</v>
      </c>
    </row>
    <row r="74" spans="1:14" x14ac:dyDescent="0.2">
      <c r="A74" s="4">
        <v>73</v>
      </c>
      <c r="B74" s="10" t="s">
        <v>83</v>
      </c>
      <c r="C74" s="4">
        <v>73</v>
      </c>
      <c r="D74" s="10" t="s">
        <v>10</v>
      </c>
      <c r="E74" s="9">
        <v>10</v>
      </c>
      <c r="F74" s="5">
        <v>45779</v>
      </c>
      <c r="G74" s="5">
        <v>45783</v>
      </c>
      <c r="H74" s="4">
        <v>1</v>
      </c>
      <c r="I74" s="4">
        <v>2385</v>
      </c>
      <c r="J74" s="10" t="str">
        <f>VLOOKUP(E74,Diagnosis!$A$2:$B$11,2,FALSE)</f>
        <v>Liver Disease</v>
      </c>
      <c r="K74" s="10" t="str">
        <f>VLOOKUP(H74,Outcomes!$A$2:$B$4,2,FALSE)</f>
        <v>Recovered</v>
      </c>
      <c r="L74" s="9">
        <f t="shared" si="4"/>
        <v>4</v>
      </c>
      <c r="M74" s="10" t="str">
        <f>_xlfn.IFNA(IF(VLOOKUP(Patients!A74,Labs!$B$2:$D$201,3,FALSE)&gt;120,"High","Normal"),"Not Applicable")</f>
        <v>Normal</v>
      </c>
      <c r="N74" s="12" t="str">
        <f t="shared" si="5"/>
        <v>Low Risk</v>
      </c>
    </row>
    <row r="75" spans="1:14" x14ac:dyDescent="0.2">
      <c r="A75" s="4">
        <v>74</v>
      </c>
      <c r="B75" s="10" t="s">
        <v>84</v>
      </c>
      <c r="C75" s="4">
        <v>37</v>
      </c>
      <c r="D75" s="10" t="s">
        <v>10</v>
      </c>
      <c r="E75" s="9">
        <v>7</v>
      </c>
      <c r="F75" s="5">
        <v>45790</v>
      </c>
      <c r="G75" s="5">
        <v>45796</v>
      </c>
      <c r="H75" s="4">
        <v>3</v>
      </c>
      <c r="I75" s="4">
        <v>5281</v>
      </c>
      <c r="J75" s="10" t="str">
        <f>VLOOKUP(E75,Diagnosis!$A$2:$B$11,2,FALSE)</f>
        <v>Cancer</v>
      </c>
      <c r="K75" s="10" t="str">
        <f>VLOOKUP(H75,Outcomes!$A$2:$B$4,2,FALSE)</f>
        <v>Deceased</v>
      </c>
      <c r="L75" s="9">
        <f t="shared" si="4"/>
        <v>6</v>
      </c>
      <c r="M75" s="10" t="str">
        <f>_xlfn.IFNA(IF(VLOOKUP(Patients!A75,Labs!$B$2:$D$201,3,FALSE)&gt;120,"High","Normal"),"Not Applicable")</f>
        <v>High</v>
      </c>
      <c r="N75" s="12" t="str">
        <f t="shared" si="5"/>
        <v>Low Risk</v>
      </c>
    </row>
    <row r="76" spans="1:14" x14ac:dyDescent="0.2">
      <c r="A76" s="4">
        <v>75</v>
      </c>
      <c r="B76" s="10" t="s">
        <v>85</v>
      </c>
      <c r="C76" s="4">
        <v>76</v>
      </c>
      <c r="D76" s="10" t="s">
        <v>14</v>
      </c>
      <c r="E76" s="9">
        <v>10</v>
      </c>
      <c r="F76" s="5">
        <v>45820</v>
      </c>
      <c r="G76" s="5">
        <v>45822</v>
      </c>
      <c r="H76" s="4">
        <v>1</v>
      </c>
      <c r="I76" s="4">
        <v>2474</v>
      </c>
      <c r="J76" s="10" t="str">
        <f>VLOOKUP(E76,Diagnosis!$A$2:$B$11,2,FALSE)</f>
        <v>Liver Disease</v>
      </c>
      <c r="K76" s="10" t="str">
        <f>VLOOKUP(H76,Outcomes!$A$2:$B$4,2,FALSE)</f>
        <v>Recovered</v>
      </c>
      <c r="L76" s="9">
        <f t="shared" si="4"/>
        <v>2</v>
      </c>
      <c r="M76" s="10" t="str">
        <f>_xlfn.IFNA(IF(VLOOKUP(Patients!A76,Labs!$B$2:$D$201,3,FALSE)&gt;120,"High","Normal"),"Not Applicable")</f>
        <v>High</v>
      </c>
      <c r="N76" s="12" t="str">
        <f t="shared" si="5"/>
        <v>Low Risk</v>
      </c>
    </row>
    <row r="77" spans="1:14" x14ac:dyDescent="0.2">
      <c r="A77" s="4">
        <v>76</v>
      </c>
      <c r="B77" s="10" t="s">
        <v>86</v>
      </c>
      <c r="C77" s="4">
        <v>64</v>
      </c>
      <c r="D77" s="10" t="s">
        <v>14</v>
      </c>
      <c r="E77" s="9">
        <v>3</v>
      </c>
      <c r="F77" s="5">
        <v>45732</v>
      </c>
      <c r="G77" s="5">
        <v>45747</v>
      </c>
      <c r="H77" s="4">
        <v>1</v>
      </c>
      <c r="I77" s="4">
        <v>2417</v>
      </c>
      <c r="J77" s="10" t="str">
        <f>VLOOKUP(E77,Diagnosis!$A$2:$B$11,2,FALSE)</f>
        <v>Heart Disease</v>
      </c>
      <c r="K77" s="10" t="str">
        <f>VLOOKUP(H77,Outcomes!$A$2:$B$4,2,FALSE)</f>
        <v>Recovered</v>
      </c>
      <c r="L77" s="9">
        <f t="shared" si="4"/>
        <v>15</v>
      </c>
      <c r="M77" s="10" t="str">
        <f>_xlfn.IFNA(IF(VLOOKUP(Patients!A77,Labs!$B$2:$D$201,3,FALSE)&gt;120,"High","Normal"),"Not Applicable")</f>
        <v>Normal</v>
      </c>
      <c r="N77" s="12" t="str">
        <f t="shared" si="5"/>
        <v>Low Risk</v>
      </c>
    </row>
    <row r="78" spans="1:14" x14ac:dyDescent="0.2">
      <c r="A78" s="4">
        <v>77</v>
      </c>
      <c r="B78" s="10" t="s">
        <v>87</v>
      </c>
      <c r="C78" s="4">
        <v>43</v>
      </c>
      <c r="D78" s="10" t="s">
        <v>14</v>
      </c>
      <c r="E78" s="9">
        <v>2</v>
      </c>
      <c r="F78" s="5">
        <v>45803</v>
      </c>
      <c r="G78" s="5">
        <v>45805</v>
      </c>
      <c r="H78" s="4">
        <v>1</v>
      </c>
      <c r="I78" s="4">
        <v>8490</v>
      </c>
      <c r="J78" s="10" t="str">
        <f>VLOOKUP(E78,Diagnosis!$A$2:$B$11,2,FALSE)</f>
        <v>Diabetes</v>
      </c>
      <c r="K78" s="10" t="str">
        <f>VLOOKUP(H78,Outcomes!$A$2:$B$4,2,FALSE)</f>
        <v>Recovered</v>
      </c>
      <c r="L78" s="9">
        <f t="shared" si="4"/>
        <v>2</v>
      </c>
      <c r="M78" s="10" t="str">
        <f>_xlfn.IFNA(IF(VLOOKUP(Patients!A78,Labs!$B$2:$D$201,3,FALSE)&gt;120,"High","Normal"),"Not Applicable")</f>
        <v>Not Applicable</v>
      </c>
      <c r="N78" s="12" t="str">
        <f t="shared" si="5"/>
        <v>Low Risk</v>
      </c>
    </row>
    <row r="79" spans="1:14" x14ac:dyDescent="0.2">
      <c r="A79" s="4">
        <v>78</v>
      </c>
      <c r="B79" s="10" t="s">
        <v>88</v>
      </c>
      <c r="C79" s="4">
        <v>46</v>
      </c>
      <c r="D79" s="10" t="s">
        <v>14</v>
      </c>
      <c r="E79" s="9">
        <v>9</v>
      </c>
      <c r="F79" s="5">
        <v>45733</v>
      </c>
      <c r="G79" s="5">
        <v>45740</v>
      </c>
      <c r="H79" s="4">
        <v>1</v>
      </c>
      <c r="I79" s="4">
        <v>5600</v>
      </c>
      <c r="J79" s="10" t="str">
        <f>VLOOKUP(E79,Diagnosis!$A$2:$B$11,2,FALSE)</f>
        <v>Kidney Disease</v>
      </c>
      <c r="K79" s="10" t="str">
        <f>VLOOKUP(H79,Outcomes!$A$2:$B$4,2,FALSE)</f>
        <v>Recovered</v>
      </c>
      <c r="L79" s="9">
        <f t="shared" si="4"/>
        <v>7</v>
      </c>
      <c r="M79" s="10" t="str">
        <f>_xlfn.IFNA(IF(VLOOKUP(Patients!A79,Labs!$B$2:$D$201,3,FALSE)&gt;120,"High","Normal"),"Not Applicable")</f>
        <v>Not Applicable</v>
      </c>
      <c r="N79" s="12" t="str">
        <f t="shared" si="5"/>
        <v>Low Risk</v>
      </c>
    </row>
    <row r="80" spans="1:14" x14ac:dyDescent="0.2">
      <c r="A80" s="4">
        <v>79</v>
      </c>
      <c r="B80" s="10" t="s">
        <v>89</v>
      </c>
      <c r="C80" s="4">
        <v>65</v>
      </c>
      <c r="D80" s="10" t="s">
        <v>10</v>
      </c>
      <c r="E80" s="9">
        <v>8</v>
      </c>
      <c r="F80" s="5">
        <v>45666</v>
      </c>
      <c r="G80" s="5">
        <v>45798</v>
      </c>
      <c r="H80" s="4">
        <v>3</v>
      </c>
      <c r="I80" s="4">
        <v>8783</v>
      </c>
      <c r="J80" s="10" t="str">
        <f>VLOOKUP(E80,Diagnosis!$A$2:$B$11,2,FALSE)</f>
        <v>Arthritis</v>
      </c>
      <c r="K80" s="10" t="str">
        <f>VLOOKUP(H80,Outcomes!$A$2:$B$4,2,FALSE)</f>
        <v>Deceased</v>
      </c>
      <c r="L80" s="9">
        <f t="shared" si="4"/>
        <v>132</v>
      </c>
      <c r="M80" s="10" t="str">
        <f>_xlfn.IFNA(IF(VLOOKUP(Patients!A80,Labs!$B$2:$D$201,3,FALSE)&gt;120,"High","Normal"),"Not Applicable")</f>
        <v>High</v>
      </c>
      <c r="N80" s="12" t="str">
        <f t="shared" si="5"/>
        <v>Low Risk</v>
      </c>
    </row>
    <row r="81" spans="1:14" x14ac:dyDescent="0.2">
      <c r="A81" s="4">
        <v>80</v>
      </c>
      <c r="B81" s="10" t="s">
        <v>90</v>
      </c>
      <c r="C81" s="4">
        <v>79</v>
      </c>
      <c r="D81" s="10" t="s">
        <v>10</v>
      </c>
      <c r="E81" s="9">
        <v>10</v>
      </c>
      <c r="F81" s="5">
        <v>45731</v>
      </c>
      <c r="G81" s="5">
        <v>45804</v>
      </c>
      <c r="H81" s="4">
        <v>3</v>
      </c>
      <c r="I81" s="4">
        <v>7034</v>
      </c>
      <c r="J81" s="10" t="str">
        <f>VLOOKUP(E81,Diagnosis!$A$2:$B$11,2,FALSE)</f>
        <v>Liver Disease</v>
      </c>
      <c r="K81" s="10" t="str">
        <f>VLOOKUP(H81,Outcomes!$A$2:$B$4,2,FALSE)</f>
        <v>Deceased</v>
      </c>
      <c r="L81" s="9">
        <f t="shared" si="4"/>
        <v>73</v>
      </c>
      <c r="M81" s="10" t="str">
        <f>_xlfn.IFNA(IF(VLOOKUP(Patients!A81,Labs!$B$2:$D$201,3,FALSE)&gt;120,"High","Normal"),"Not Applicable")</f>
        <v>Normal</v>
      </c>
      <c r="N81" s="12" t="str">
        <f t="shared" si="5"/>
        <v>High Risk</v>
      </c>
    </row>
    <row r="82" spans="1:14" x14ac:dyDescent="0.2">
      <c r="A82" s="4">
        <v>81</v>
      </c>
      <c r="B82" s="10" t="s">
        <v>91</v>
      </c>
      <c r="C82" s="4">
        <v>69</v>
      </c>
      <c r="D82" s="10" t="s">
        <v>14</v>
      </c>
      <c r="E82" s="9">
        <v>7</v>
      </c>
      <c r="F82" s="5">
        <v>45802</v>
      </c>
      <c r="G82" s="5">
        <v>45811</v>
      </c>
      <c r="H82" s="4">
        <v>2</v>
      </c>
      <c r="I82" s="4">
        <v>2954</v>
      </c>
      <c r="J82" s="10" t="str">
        <f>VLOOKUP(E82,Diagnosis!$A$2:$B$11,2,FALSE)</f>
        <v>Cancer</v>
      </c>
      <c r="K82" s="10" t="str">
        <f>VLOOKUP(H82,Outcomes!$A$2:$B$4,2,FALSE)</f>
        <v>Complicated</v>
      </c>
      <c r="L82" s="9">
        <f t="shared" si="4"/>
        <v>9</v>
      </c>
      <c r="M82" s="10" t="str">
        <f>_xlfn.IFNA(IF(VLOOKUP(Patients!A82,Labs!$B$2:$D$201,3,FALSE)&gt;120,"High","Normal"),"Not Applicable")</f>
        <v>High</v>
      </c>
      <c r="N82" s="12" t="str">
        <f t="shared" si="5"/>
        <v>High Risk</v>
      </c>
    </row>
    <row r="83" spans="1:14" x14ac:dyDescent="0.2">
      <c r="A83" s="4">
        <v>82</v>
      </c>
      <c r="B83" s="10" t="s">
        <v>92</v>
      </c>
      <c r="C83" s="4">
        <v>33</v>
      </c>
      <c r="D83" s="10" t="s">
        <v>10</v>
      </c>
      <c r="E83" s="9">
        <v>9</v>
      </c>
      <c r="F83" s="5">
        <v>45664</v>
      </c>
      <c r="G83" s="5">
        <v>45740</v>
      </c>
      <c r="H83" s="4">
        <v>3</v>
      </c>
      <c r="I83" s="4">
        <v>6971</v>
      </c>
      <c r="J83" s="10" t="str">
        <f>VLOOKUP(E83,Diagnosis!$A$2:$B$11,2,FALSE)</f>
        <v>Kidney Disease</v>
      </c>
      <c r="K83" s="10" t="str">
        <f>VLOOKUP(H83,Outcomes!$A$2:$B$4,2,FALSE)</f>
        <v>Deceased</v>
      </c>
      <c r="L83" s="9">
        <f t="shared" si="4"/>
        <v>76</v>
      </c>
      <c r="M83" s="10" t="str">
        <f>_xlfn.IFNA(IF(VLOOKUP(Patients!A83,Labs!$B$2:$D$201,3,FALSE)&gt;120,"High","Normal"),"Not Applicable")</f>
        <v>High</v>
      </c>
      <c r="N83" s="12" t="str">
        <f t="shared" si="5"/>
        <v>Low Risk</v>
      </c>
    </row>
    <row r="84" spans="1:14" x14ac:dyDescent="0.2">
      <c r="A84" s="4">
        <v>83</v>
      </c>
      <c r="B84" s="10" t="s">
        <v>93</v>
      </c>
      <c r="C84" s="4">
        <v>31</v>
      </c>
      <c r="D84" s="10" t="s">
        <v>10</v>
      </c>
      <c r="E84" s="9">
        <v>4</v>
      </c>
      <c r="F84" s="5">
        <v>45831</v>
      </c>
      <c r="G84" s="5">
        <v>45833</v>
      </c>
      <c r="H84" s="4">
        <v>3</v>
      </c>
      <c r="I84" s="4">
        <v>6858</v>
      </c>
      <c r="J84" s="10" t="str">
        <f>VLOOKUP(E84,Diagnosis!$A$2:$B$11,2,FALSE)</f>
        <v>Asthma</v>
      </c>
      <c r="K84" s="10" t="str">
        <f>VLOOKUP(H84,Outcomes!$A$2:$B$4,2,FALSE)</f>
        <v>Deceased</v>
      </c>
      <c r="L84" s="9">
        <f t="shared" si="4"/>
        <v>2</v>
      </c>
      <c r="M84" s="10" t="str">
        <f>_xlfn.IFNA(IF(VLOOKUP(Patients!A84,Labs!$B$2:$D$201,3,FALSE)&gt;120,"High","Normal"),"Not Applicable")</f>
        <v>Normal</v>
      </c>
      <c r="N84" s="12" t="str">
        <f t="shared" si="5"/>
        <v>Low Risk</v>
      </c>
    </row>
    <row r="85" spans="1:14" x14ac:dyDescent="0.2">
      <c r="A85" s="4">
        <v>84</v>
      </c>
      <c r="B85" s="10" t="s">
        <v>94</v>
      </c>
      <c r="C85" s="4">
        <v>35</v>
      </c>
      <c r="D85" s="10" t="s">
        <v>10</v>
      </c>
      <c r="E85" s="9">
        <v>4</v>
      </c>
      <c r="F85" s="5">
        <v>45798</v>
      </c>
      <c r="G85" s="5">
        <v>45804</v>
      </c>
      <c r="H85" s="4">
        <v>2</v>
      </c>
      <c r="I85" s="4">
        <v>7298</v>
      </c>
      <c r="J85" s="10" t="str">
        <f>VLOOKUP(E85,Diagnosis!$A$2:$B$11,2,FALSE)</f>
        <v>Asthma</v>
      </c>
      <c r="K85" s="10" t="str">
        <f>VLOOKUP(H85,Outcomes!$A$2:$B$4,2,FALSE)</f>
        <v>Complicated</v>
      </c>
      <c r="L85" s="9">
        <f t="shared" si="4"/>
        <v>6</v>
      </c>
      <c r="M85" s="10" t="str">
        <f>_xlfn.IFNA(IF(VLOOKUP(Patients!A85,Labs!$B$2:$D$201,3,FALSE)&gt;120,"High","Normal"),"Not Applicable")</f>
        <v>Not Applicable</v>
      </c>
      <c r="N85" s="12" t="str">
        <f t="shared" si="5"/>
        <v>Low Risk</v>
      </c>
    </row>
    <row r="86" spans="1:14" x14ac:dyDescent="0.2">
      <c r="A86" s="4">
        <v>85</v>
      </c>
      <c r="B86" s="10" t="s">
        <v>95</v>
      </c>
      <c r="C86" s="4">
        <v>83</v>
      </c>
      <c r="D86" s="10" t="s">
        <v>14</v>
      </c>
      <c r="E86" s="9">
        <v>1</v>
      </c>
      <c r="F86" s="5">
        <v>45825</v>
      </c>
      <c r="G86" s="5">
        <v>45831</v>
      </c>
      <c r="H86" s="4">
        <v>3</v>
      </c>
      <c r="I86" s="4">
        <v>3205</v>
      </c>
      <c r="J86" s="10" t="str">
        <f>VLOOKUP(E86,Diagnosis!$A$2:$B$11,2,FALSE)</f>
        <v>Hypertension</v>
      </c>
      <c r="K86" s="10" t="str">
        <f>VLOOKUP(H86,Outcomes!$A$2:$B$4,2,FALSE)</f>
        <v>Deceased</v>
      </c>
      <c r="L86" s="9">
        <f t="shared" si="4"/>
        <v>6</v>
      </c>
      <c r="M86" s="10" t="str">
        <f>_xlfn.IFNA(IF(VLOOKUP(Patients!A86,Labs!$B$2:$D$201,3,FALSE)&gt;120,"High","Normal"),"Not Applicable")</f>
        <v>High</v>
      </c>
      <c r="N86" s="12" t="str">
        <f t="shared" si="5"/>
        <v>High Risk</v>
      </c>
    </row>
    <row r="87" spans="1:14" x14ac:dyDescent="0.2">
      <c r="A87" s="4">
        <v>86</v>
      </c>
      <c r="B87" s="10" t="s">
        <v>96</v>
      </c>
      <c r="C87" s="4">
        <v>71</v>
      </c>
      <c r="D87" s="10" t="s">
        <v>14</v>
      </c>
      <c r="E87" s="9">
        <v>8</v>
      </c>
      <c r="F87" s="5">
        <v>45827</v>
      </c>
      <c r="G87" s="5">
        <v>45837</v>
      </c>
      <c r="H87" s="4">
        <v>1</v>
      </c>
      <c r="I87" s="4">
        <v>6759</v>
      </c>
      <c r="J87" s="10" t="str">
        <f>VLOOKUP(E87,Diagnosis!$A$2:$B$11,2,FALSE)</f>
        <v>Arthritis</v>
      </c>
      <c r="K87" s="10" t="str">
        <f>VLOOKUP(H87,Outcomes!$A$2:$B$4,2,FALSE)</f>
        <v>Recovered</v>
      </c>
      <c r="L87" s="9">
        <f t="shared" si="4"/>
        <v>10</v>
      </c>
      <c r="M87" s="10" t="str">
        <f>_xlfn.IFNA(IF(VLOOKUP(Patients!A87,Labs!$B$2:$D$201,3,FALSE)&gt;120,"High","Normal"),"Not Applicable")</f>
        <v>Normal</v>
      </c>
      <c r="N87" s="12" t="str">
        <f t="shared" si="5"/>
        <v>Low Risk</v>
      </c>
    </row>
    <row r="88" spans="1:14" x14ac:dyDescent="0.2">
      <c r="A88" s="4">
        <v>87</v>
      </c>
      <c r="B88" s="10" t="s">
        <v>97</v>
      </c>
      <c r="C88" s="4">
        <v>33</v>
      </c>
      <c r="D88" s="10" t="s">
        <v>10</v>
      </c>
      <c r="E88" s="9">
        <v>3</v>
      </c>
      <c r="F88" s="5">
        <v>45794</v>
      </c>
      <c r="G88" s="5">
        <v>45799</v>
      </c>
      <c r="H88" s="4">
        <v>1</v>
      </c>
      <c r="I88" s="4">
        <v>6120</v>
      </c>
      <c r="J88" s="10" t="str">
        <f>VLOOKUP(E88,Diagnosis!$A$2:$B$11,2,FALSE)</f>
        <v>Heart Disease</v>
      </c>
      <c r="K88" s="10" t="str">
        <f>VLOOKUP(H88,Outcomes!$A$2:$B$4,2,FALSE)</f>
        <v>Recovered</v>
      </c>
      <c r="L88" s="9">
        <f t="shared" si="4"/>
        <v>5</v>
      </c>
      <c r="M88" s="10" t="str">
        <f>_xlfn.IFNA(IF(VLOOKUP(Patients!A88,Labs!$B$2:$D$201,3,FALSE)&gt;120,"High","Normal"),"Not Applicable")</f>
        <v>Normal</v>
      </c>
      <c r="N88" s="12" t="str">
        <f t="shared" si="5"/>
        <v>Low Risk</v>
      </c>
    </row>
    <row r="89" spans="1:14" x14ac:dyDescent="0.2">
      <c r="A89" s="4">
        <v>88</v>
      </c>
      <c r="B89" s="10" t="s">
        <v>98</v>
      </c>
      <c r="C89" s="4">
        <v>83</v>
      </c>
      <c r="D89" s="10" t="s">
        <v>14</v>
      </c>
      <c r="E89" s="9">
        <v>7</v>
      </c>
      <c r="F89" s="5">
        <v>45835</v>
      </c>
      <c r="G89" s="5">
        <v>45836</v>
      </c>
      <c r="H89" s="4">
        <v>2</v>
      </c>
      <c r="I89" s="4">
        <v>3990</v>
      </c>
      <c r="J89" s="10" t="str">
        <f>VLOOKUP(E89,Diagnosis!$A$2:$B$11,2,FALSE)</f>
        <v>Cancer</v>
      </c>
      <c r="K89" s="10" t="str">
        <f>VLOOKUP(H89,Outcomes!$A$2:$B$4,2,FALSE)</f>
        <v>Complicated</v>
      </c>
      <c r="L89" s="9">
        <f t="shared" si="4"/>
        <v>1</v>
      </c>
      <c r="M89" s="10" t="str">
        <f>_xlfn.IFNA(IF(VLOOKUP(Patients!A89,Labs!$B$2:$D$201,3,FALSE)&gt;120,"High","Normal"),"Not Applicable")</f>
        <v>Not Applicable</v>
      </c>
      <c r="N89" s="12" t="str">
        <f t="shared" si="5"/>
        <v>High Risk</v>
      </c>
    </row>
    <row r="90" spans="1:14" x14ac:dyDescent="0.2">
      <c r="A90" s="4">
        <v>89</v>
      </c>
      <c r="B90" s="10" t="s">
        <v>99</v>
      </c>
      <c r="C90" s="4">
        <v>58</v>
      </c>
      <c r="D90" s="10" t="s">
        <v>14</v>
      </c>
      <c r="E90" s="9">
        <v>2</v>
      </c>
      <c r="F90" s="5">
        <v>45684</v>
      </c>
      <c r="G90" s="5">
        <v>45792</v>
      </c>
      <c r="H90" s="4">
        <v>2</v>
      </c>
      <c r="I90" s="4">
        <v>7299</v>
      </c>
      <c r="J90" s="10" t="str">
        <f>VLOOKUP(E90,Diagnosis!$A$2:$B$11,2,FALSE)</f>
        <v>Diabetes</v>
      </c>
      <c r="K90" s="10" t="str">
        <f>VLOOKUP(H90,Outcomes!$A$2:$B$4,2,FALSE)</f>
        <v>Complicated</v>
      </c>
      <c r="L90" s="9">
        <f t="shared" si="4"/>
        <v>108</v>
      </c>
      <c r="M90" s="10" t="str">
        <f>_xlfn.IFNA(IF(VLOOKUP(Patients!A90,Labs!$B$2:$D$201,3,FALSE)&gt;120,"High","Normal"),"Not Applicable")</f>
        <v>High</v>
      </c>
      <c r="N90" s="12" t="str">
        <f t="shared" si="5"/>
        <v>Low Risk</v>
      </c>
    </row>
    <row r="91" spans="1:14" x14ac:dyDescent="0.2">
      <c r="A91" s="4">
        <v>90</v>
      </c>
      <c r="B91" s="10" t="s">
        <v>100</v>
      </c>
      <c r="C91" s="4">
        <v>47</v>
      </c>
      <c r="D91" s="10" t="s">
        <v>14</v>
      </c>
      <c r="E91" s="9">
        <v>2</v>
      </c>
      <c r="F91" s="5">
        <v>45779</v>
      </c>
      <c r="G91" s="5">
        <v>45787</v>
      </c>
      <c r="H91" s="4">
        <v>2</v>
      </c>
      <c r="I91" s="4">
        <v>6805</v>
      </c>
      <c r="J91" s="10" t="str">
        <f>VLOOKUP(E91,Diagnosis!$A$2:$B$11,2,FALSE)</f>
        <v>Diabetes</v>
      </c>
      <c r="K91" s="10" t="str">
        <f>VLOOKUP(H91,Outcomes!$A$2:$B$4,2,FALSE)</f>
        <v>Complicated</v>
      </c>
      <c r="L91" s="9">
        <f t="shared" si="4"/>
        <v>8</v>
      </c>
      <c r="M91" s="10" t="str">
        <f>_xlfn.IFNA(IF(VLOOKUP(Patients!A91,Labs!$B$2:$D$201,3,FALSE)&gt;120,"High","Normal"),"Not Applicable")</f>
        <v>Not Applicable</v>
      </c>
      <c r="N91" s="12" t="str">
        <f t="shared" si="5"/>
        <v>Low Risk</v>
      </c>
    </row>
    <row r="92" spans="1:14" x14ac:dyDescent="0.2">
      <c r="A92" s="4">
        <v>91</v>
      </c>
      <c r="B92" s="10" t="s">
        <v>101</v>
      </c>
      <c r="C92" s="4">
        <v>55</v>
      </c>
      <c r="D92" s="10" t="s">
        <v>14</v>
      </c>
      <c r="E92" s="9">
        <v>7</v>
      </c>
      <c r="F92" s="5">
        <v>45662</v>
      </c>
      <c r="G92" s="5">
        <v>45781</v>
      </c>
      <c r="H92" s="4">
        <v>1</v>
      </c>
      <c r="I92" s="4">
        <v>5572</v>
      </c>
      <c r="J92" s="10" t="str">
        <f>VLOOKUP(E92,Diagnosis!$A$2:$B$11,2,FALSE)</f>
        <v>Cancer</v>
      </c>
      <c r="K92" s="10" t="str">
        <f>VLOOKUP(H92,Outcomes!$A$2:$B$4,2,FALSE)</f>
        <v>Recovered</v>
      </c>
      <c r="L92" s="9">
        <f t="shared" si="4"/>
        <v>119</v>
      </c>
      <c r="M92" s="10" t="str">
        <f>_xlfn.IFNA(IF(VLOOKUP(Patients!A92,Labs!$B$2:$D$201,3,FALSE)&gt;120,"High","Normal"),"Not Applicable")</f>
        <v>Not Applicable</v>
      </c>
      <c r="N92" s="12" t="str">
        <f t="shared" si="5"/>
        <v>Low Risk</v>
      </c>
    </row>
    <row r="93" spans="1:14" x14ac:dyDescent="0.2">
      <c r="A93" s="4">
        <v>92</v>
      </c>
      <c r="B93" s="10" t="s">
        <v>102</v>
      </c>
      <c r="C93" s="4">
        <v>73</v>
      </c>
      <c r="D93" s="10" t="s">
        <v>14</v>
      </c>
      <c r="E93" s="9">
        <v>6</v>
      </c>
      <c r="F93" s="5">
        <v>45686</v>
      </c>
      <c r="G93" s="5">
        <v>45777</v>
      </c>
      <c r="H93" s="4">
        <v>3</v>
      </c>
      <c r="I93" s="4">
        <v>7975</v>
      </c>
      <c r="J93" s="10" t="str">
        <f>VLOOKUP(E93,Diagnosis!$A$2:$B$11,2,FALSE)</f>
        <v>COPD</v>
      </c>
      <c r="K93" s="10" t="str">
        <f>VLOOKUP(H93,Outcomes!$A$2:$B$4,2,FALSE)</f>
        <v>Deceased</v>
      </c>
      <c r="L93" s="9">
        <f t="shared" si="4"/>
        <v>91</v>
      </c>
      <c r="M93" s="10" t="str">
        <f>_xlfn.IFNA(IF(VLOOKUP(Patients!A93,Labs!$B$2:$D$201,3,FALSE)&gt;120,"High","Normal"),"Not Applicable")</f>
        <v>Not Applicable</v>
      </c>
      <c r="N93" s="12" t="str">
        <f t="shared" si="5"/>
        <v>High Risk</v>
      </c>
    </row>
    <row r="94" spans="1:14" x14ac:dyDescent="0.2">
      <c r="A94" s="4">
        <v>93</v>
      </c>
      <c r="B94" s="10" t="s">
        <v>103</v>
      </c>
      <c r="C94" s="4">
        <v>63</v>
      </c>
      <c r="D94" s="10" t="s">
        <v>10</v>
      </c>
      <c r="E94" s="9">
        <v>3</v>
      </c>
      <c r="F94" s="5">
        <v>45822</v>
      </c>
      <c r="G94" s="5">
        <v>45831</v>
      </c>
      <c r="H94" s="4">
        <v>1</v>
      </c>
      <c r="I94" s="4">
        <v>7280</v>
      </c>
      <c r="J94" s="10" t="str">
        <f>VLOOKUP(E94,Diagnosis!$A$2:$B$11,2,FALSE)</f>
        <v>Heart Disease</v>
      </c>
      <c r="K94" s="10" t="str">
        <f>VLOOKUP(H94,Outcomes!$A$2:$B$4,2,FALSE)</f>
        <v>Recovered</v>
      </c>
      <c r="L94" s="9">
        <f t="shared" si="4"/>
        <v>9</v>
      </c>
      <c r="M94" s="10" t="str">
        <f>_xlfn.IFNA(IF(VLOOKUP(Patients!A94,Labs!$B$2:$D$201,3,FALSE)&gt;120,"High","Normal"),"Not Applicable")</f>
        <v>Not Applicable</v>
      </c>
      <c r="N94" s="12" t="str">
        <f t="shared" si="5"/>
        <v>Low Risk</v>
      </c>
    </row>
    <row r="95" spans="1:14" x14ac:dyDescent="0.2">
      <c r="A95" s="4">
        <v>94</v>
      </c>
      <c r="B95" s="10" t="s">
        <v>104</v>
      </c>
      <c r="C95" s="4">
        <v>39</v>
      </c>
      <c r="D95" s="10" t="s">
        <v>14</v>
      </c>
      <c r="E95" s="9">
        <v>9</v>
      </c>
      <c r="F95" s="5">
        <v>45823</v>
      </c>
      <c r="G95" s="5">
        <v>45825</v>
      </c>
      <c r="H95" s="4">
        <v>2</v>
      </c>
      <c r="I95" s="4">
        <v>8320</v>
      </c>
      <c r="J95" s="10" t="str">
        <f>VLOOKUP(E95,Diagnosis!$A$2:$B$11,2,FALSE)</f>
        <v>Kidney Disease</v>
      </c>
      <c r="K95" s="10" t="str">
        <f>VLOOKUP(H95,Outcomes!$A$2:$B$4,2,FALSE)</f>
        <v>Complicated</v>
      </c>
      <c r="L95" s="9">
        <f t="shared" si="4"/>
        <v>2</v>
      </c>
      <c r="M95" s="10" t="str">
        <f>_xlfn.IFNA(IF(VLOOKUP(Patients!A95,Labs!$B$2:$D$201,3,FALSE)&gt;120,"High","Normal"),"Not Applicable")</f>
        <v>Not Applicable</v>
      </c>
      <c r="N95" s="12" t="str">
        <f t="shared" si="5"/>
        <v>Low Risk</v>
      </c>
    </row>
    <row r="96" spans="1:14" x14ac:dyDescent="0.2">
      <c r="A96" s="4">
        <v>95</v>
      </c>
      <c r="B96" s="10" t="s">
        <v>105</v>
      </c>
      <c r="C96" s="4">
        <v>65</v>
      </c>
      <c r="D96" s="10" t="s">
        <v>10</v>
      </c>
      <c r="E96" s="9">
        <v>10</v>
      </c>
      <c r="F96" s="5">
        <v>45740</v>
      </c>
      <c r="G96" s="5">
        <v>45761</v>
      </c>
      <c r="H96" s="4">
        <v>3</v>
      </c>
      <c r="I96" s="4">
        <v>6380</v>
      </c>
      <c r="J96" s="10" t="str">
        <f>VLOOKUP(E96,Diagnosis!$A$2:$B$11,2,FALSE)</f>
        <v>Liver Disease</v>
      </c>
      <c r="K96" s="10" t="str">
        <f>VLOOKUP(H96,Outcomes!$A$2:$B$4,2,FALSE)</f>
        <v>Deceased</v>
      </c>
      <c r="L96" s="9">
        <f t="shared" si="4"/>
        <v>21</v>
      </c>
      <c r="M96" s="10" t="str">
        <f>_xlfn.IFNA(IF(VLOOKUP(Patients!A96,Labs!$B$2:$D$201,3,FALSE)&gt;120,"High","Normal"),"Not Applicable")</f>
        <v>Not Applicable</v>
      </c>
      <c r="N96" s="12" t="str">
        <f t="shared" si="5"/>
        <v>Low Risk</v>
      </c>
    </row>
    <row r="97" spans="1:14" x14ac:dyDescent="0.2">
      <c r="A97" s="4">
        <v>96</v>
      </c>
      <c r="B97" s="10" t="s">
        <v>106</v>
      </c>
      <c r="C97" s="4">
        <v>43</v>
      </c>
      <c r="D97" s="10" t="s">
        <v>10</v>
      </c>
      <c r="E97" s="9">
        <v>6</v>
      </c>
      <c r="F97" s="5">
        <v>45793</v>
      </c>
      <c r="G97" s="5">
        <v>45800</v>
      </c>
      <c r="H97" s="4">
        <v>3</v>
      </c>
      <c r="I97" s="4">
        <v>6158</v>
      </c>
      <c r="J97" s="10" t="str">
        <f>VLOOKUP(E97,Diagnosis!$A$2:$B$11,2,FALSE)</f>
        <v>COPD</v>
      </c>
      <c r="K97" s="10" t="str">
        <f>VLOOKUP(H97,Outcomes!$A$2:$B$4,2,FALSE)</f>
        <v>Deceased</v>
      </c>
      <c r="L97" s="9">
        <f t="shared" si="4"/>
        <v>7</v>
      </c>
      <c r="M97" s="10" t="str">
        <f>_xlfn.IFNA(IF(VLOOKUP(Patients!A97,Labs!$B$2:$D$201,3,FALSE)&gt;120,"High","Normal"),"Not Applicable")</f>
        <v>Not Applicable</v>
      </c>
      <c r="N97" s="12" t="str">
        <f t="shared" si="5"/>
        <v>Low Risk</v>
      </c>
    </row>
    <row r="98" spans="1:14" x14ac:dyDescent="0.2">
      <c r="A98" s="4">
        <v>97</v>
      </c>
      <c r="B98" s="10" t="s">
        <v>107</v>
      </c>
      <c r="C98" s="4">
        <v>60</v>
      </c>
      <c r="D98" s="10" t="s">
        <v>14</v>
      </c>
      <c r="E98" s="9">
        <v>10</v>
      </c>
      <c r="F98" s="5">
        <v>45766</v>
      </c>
      <c r="G98" s="5">
        <v>45810</v>
      </c>
      <c r="H98" s="4">
        <v>1</v>
      </c>
      <c r="I98" s="4">
        <v>7098</v>
      </c>
      <c r="J98" s="10" t="str">
        <f>VLOOKUP(E98,Diagnosis!$A$2:$B$11,2,FALSE)</f>
        <v>Liver Disease</v>
      </c>
      <c r="K98" s="10" t="str">
        <f>VLOOKUP(H98,Outcomes!$A$2:$B$4,2,FALSE)</f>
        <v>Recovered</v>
      </c>
      <c r="L98" s="9">
        <f t="shared" ref="L98:L129" si="6">DATEDIF(F98,G98,"d")</f>
        <v>44</v>
      </c>
      <c r="M98" s="10" t="str">
        <f>_xlfn.IFNA(IF(VLOOKUP(Patients!A98,Labs!$B$2:$D$201,3,FALSE)&gt;120,"High","Normal"),"Not Applicable")</f>
        <v>Not Applicable</v>
      </c>
      <c r="N98" s="12" t="str">
        <f t="shared" ref="N98:N129" si="7">IF(AND(C98&gt;65,H98&lt;&gt;1),"High Risk","Low Risk")</f>
        <v>Low Risk</v>
      </c>
    </row>
    <row r="99" spans="1:14" x14ac:dyDescent="0.2">
      <c r="A99" s="4">
        <v>98</v>
      </c>
      <c r="B99" s="10" t="s">
        <v>108</v>
      </c>
      <c r="C99" s="4">
        <v>77</v>
      </c>
      <c r="D99" s="10" t="s">
        <v>10</v>
      </c>
      <c r="E99" s="9">
        <v>10</v>
      </c>
      <c r="F99" s="5">
        <v>45722</v>
      </c>
      <c r="G99" s="5">
        <v>45724</v>
      </c>
      <c r="H99" s="4">
        <v>2</v>
      </c>
      <c r="I99" s="4">
        <v>6757</v>
      </c>
      <c r="J99" s="10" t="str">
        <f>VLOOKUP(E99,Diagnosis!$A$2:$B$11,2,FALSE)</f>
        <v>Liver Disease</v>
      </c>
      <c r="K99" s="10" t="str">
        <f>VLOOKUP(H99,Outcomes!$A$2:$B$4,2,FALSE)</f>
        <v>Complicated</v>
      </c>
      <c r="L99" s="9">
        <f t="shared" si="6"/>
        <v>2</v>
      </c>
      <c r="M99" s="10" t="str">
        <f>_xlfn.IFNA(IF(VLOOKUP(Patients!A99,Labs!$B$2:$D$201,3,FALSE)&gt;120,"High","Normal"),"Not Applicable")</f>
        <v>Normal</v>
      </c>
      <c r="N99" s="12" t="str">
        <f t="shared" si="7"/>
        <v>High Risk</v>
      </c>
    </row>
    <row r="100" spans="1:14" x14ac:dyDescent="0.2">
      <c r="A100" s="4">
        <v>99</v>
      </c>
      <c r="B100" s="10" t="s">
        <v>109</v>
      </c>
      <c r="C100" s="4">
        <v>44</v>
      </c>
      <c r="D100" s="10" t="s">
        <v>10</v>
      </c>
      <c r="E100" s="9">
        <v>6</v>
      </c>
      <c r="F100" s="5">
        <v>45743</v>
      </c>
      <c r="G100" s="5">
        <v>45798</v>
      </c>
      <c r="H100" s="4">
        <v>1</v>
      </c>
      <c r="I100" s="4">
        <v>4713</v>
      </c>
      <c r="J100" s="10" t="str">
        <f>VLOOKUP(E100,Diagnosis!$A$2:$B$11,2,FALSE)</f>
        <v>COPD</v>
      </c>
      <c r="K100" s="10" t="str">
        <f>VLOOKUP(H100,Outcomes!$A$2:$B$4,2,FALSE)</f>
        <v>Recovered</v>
      </c>
      <c r="L100" s="9">
        <f t="shared" si="6"/>
        <v>55</v>
      </c>
      <c r="M100" s="10" t="str">
        <f>_xlfn.IFNA(IF(VLOOKUP(Patients!A100,Labs!$B$2:$D$201,3,FALSE)&gt;120,"High","Normal"),"Not Applicable")</f>
        <v>High</v>
      </c>
      <c r="N100" s="12" t="str">
        <f t="shared" si="7"/>
        <v>Low Risk</v>
      </c>
    </row>
    <row r="101" spans="1:14" x14ac:dyDescent="0.2">
      <c r="A101" s="4">
        <v>100</v>
      </c>
      <c r="B101" s="10" t="s">
        <v>110</v>
      </c>
      <c r="C101" s="4">
        <v>37</v>
      </c>
      <c r="D101" s="10" t="s">
        <v>10</v>
      </c>
      <c r="E101" s="9">
        <v>1</v>
      </c>
      <c r="F101" s="5">
        <v>45802</v>
      </c>
      <c r="G101" s="5">
        <v>45811</v>
      </c>
      <c r="H101" s="4">
        <v>3</v>
      </c>
      <c r="I101" s="4">
        <v>4203</v>
      </c>
      <c r="J101" s="10" t="str">
        <f>VLOOKUP(E101,Diagnosis!$A$2:$B$11,2,FALSE)</f>
        <v>Hypertension</v>
      </c>
      <c r="K101" s="10" t="str">
        <f>VLOOKUP(H101,Outcomes!$A$2:$B$4,2,FALSE)</f>
        <v>Deceased</v>
      </c>
      <c r="L101" s="9">
        <f t="shared" si="6"/>
        <v>9</v>
      </c>
      <c r="M101" s="10" t="str">
        <f>_xlfn.IFNA(IF(VLOOKUP(Patients!A101,Labs!$B$2:$D$201,3,FALSE)&gt;120,"High","Normal"),"Not Applicable")</f>
        <v>High</v>
      </c>
      <c r="N101" s="12" t="str">
        <f t="shared" si="7"/>
        <v>Low Risk</v>
      </c>
    </row>
    <row r="102" spans="1:14" x14ac:dyDescent="0.2">
      <c r="A102" s="4">
        <v>101</v>
      </c>
      <c r="B102" s="10" t="s">
        <v>111</v>
      </c>
      <c r="C102" s="4">
        <v>43</v>
      </c>
      <c r="D102" s="10" t="s">
        <v>14</v>
      </c>
      <c r="E102" s="9">
        <v>4</v>
      </c>
      <c r="F102" s="5">
        <v>45728</v>
      </c>
      <c r="G102" s="5">
        <v>45798</v>
      </c>
      <c r="H102" s="4">
        <v>1</v>
      </c>
      <c r="I102" s="4">
        <v>7588</v>
      </c>
      <c r="J102" s="10" t="str">
        <f>VLOOKUP(E102,Diagnosis!$A$2:$B$11,2,FALSE)</f>
        <v>Asthma</v>
      </c>
      <c r="K102" s="10" t="str">
        <f>VLOOKUP(H102,Outcomes!$A$2:$B$4,2,FALSE)</f>
        <v>Recovered</v>
      </c>
      <c r="L102" s="9">
        <f t="shared" si="6"/>
        <v>70</v>
      </c>
      <c r="M102" s="10" t="str">
        <f>_xlfn.IFNA(IF(VLOOKUP(Patients!A102,Labs!$B$2:$D$201,3,FALSE)&gt;120,"High","Normal"),"Not Applicable")</f>
        <v>High</v>
      </c>
      <c r="N102" s="12" t="str">
        <f t="shared" si="7"/>
        <v>Low Risk</v>
      </c>
    </row>
    <row r="103" spans="1:14" x14ac:dyDescent="0.2">
      <c r="A103" s="4">
        <v>102</v>
      </c>
      <c r="B103" s="10" t="s">
        <v>112</v>
      </c>
      <c r="C103" s="4">
        <v>52</v>
      </c>
      <c r="D103" s="10" t="s">
        <v>14</v>
      </c>
      <c r="E103" s="9">
        <v>10</v>
      </c>
      <c r="F103" s="5">
        <v>45702</v>
      </c>
      <c r="G103" s="5">
        <v>45707</v>
      </c>
      <c r="H103" s="4">
        <v>1</v>
      </c>
      <c r="I103" s="4">
        <v>5120</v>
      </c>
      <c r="J103" s="10" t="str">
        <f>VLOOKUP(E103,Diagnosis!$A$2:$B$11,2,FALSE)</f>
        <v>Liver Disease</v>
      </c>
      <c r="K103" s="10" t="str">
        <f>VLOOKUP(H103,Outcomes!$A$2:$B$4,2,FALSE)</f>
        <v>Recovered</v>
      </c>
      <c r="L103" s="9">
        <f t="shared" si="6"/>
        <v>5</v>
      </c>
      <c r="M103" s="10" t="str">
        <f>_xlfn.IFNA(IF(VLOOKUP(Patients!A103,Labs!$B$2:$D$201,3,FALSE)&gt;120,"High","Normal"),"Not Applicable")</f>
        <v>High</v>
      </c>
      <c r="N103" s="12" t="str">
        <f t="shared" si="7"/>
        <v>Low Risk</v>
      </c>
    </row>
    <row r="104" spans="1:14" x14ac:dyDescent="0.2">
      <c r="A104" s="4">
        <v>103</v>
      </c>
      <c r="B104" s="10" t="s">
        <v>113</v>
      </c>
      <c r="C104" s="4">
        <v>89</v>
      </c>
      <c r="D104" s="10" t="s">
        <v>10</v>
      </c>
      <c r="E104" s="9">
        <v>6</v>
      </c>
      <c r="F104" s="5">
        <v>45789</v>
      </c>
      <c r="G104" s="5">
        <v>45799</v>
      </c>
      <c r="H104" s="4">
        <v>2</v>
      </c>
      <c r="I104" s="4">
        <v>2966</v>
      </c>
      <c r="J104" s="10" t="str">
        <f>VLOOKUP(E104,Diagnosis!$A$2:$B$11,2,FALSE)</f>
        <v>COPD</v>
      </c>
      <c r="K104" s="10" t="str">
        <f>VLOOKUP(H104,Outcomes!$A$2:$B$4,2,FALSE)</f>
        <v>Complicated</v>
      </c>
      <c r="L104" s="9">
        <f t="shared" si="6"/>
        <v>10</v>
      </c>
      <c r="M104" s="10" t="str">
        <f>_xlfn.IFNA(IF(VLOOKUP(Patients!A104,Labs!$B$2:$D$201,3,FALSE)&gt;120,"High","Normal"),"Not Applicable")</f>
        <v>High</v>
      </c>
      <c r="N104" s="12" t="str">
        <f t="shared" si="7"/>
        <v>High Risk</v>
      </c>
    </row>
    <row r="105" spans="1:14" x14ac:dyDescent="0.2">
      <c r="A105" s="4">
        <v>104</v>
      </c>
      <c r="B105" s="10" t="s">
        <v>114</v>
      </c>
      <c r="C105" s="4">
        <v>86</v>
      </c>
      <c r="D105" s="10" t="s">
        <v>14</v>
      </c>
      <c r="E105" s="9">
        <v>6</v>
      </c>
      <c r="F105" s="5">
        <v>45693</v>
      </c>
      <c r="G105" s="5">
        <v>45821</v>
      </c>
      <c r="H105" s="4">
        <v>2</v>
      </c>
      <c r="I105" s="4">
        <v>6944</v>
      </c>
      <c r="J105" s="10" t="str">
        <f>VLOOKUP(E105,Diagnosis!$A$2:$B$11,2,FALSE)</f>
        <v>COPD</v>
      </c>
      <c r="K105" s="10" t="str">
        <f>VLOOKUP(H105,Outcomes!$A$2:$B$4,2,FALSE)</f>
        <v>Complicated</v>
      </c>
      <c r="L105" s="9">
        <f t="shared" si="6"/>
        <v>128</v>
      </c>
      <c r="M105" s="10" t="str">
        <f>_xlfn.IFNA(IF(VLOOKUP(Patients!A105,Labs!$B$2:$D$201,3,FALSE)&gt;120,"High","Normal"),"Not Applicable")</f>
        <v>High</v>
      </c>
      <c r="N105" s="12" t="str">
        <f t="shared" si="7"/>
        <v>High Risk</v>
      </c>
    </row>
    <row r="106" spans="1:14" x14ac:dyDescent="0.2">
      <c r="A106" s="4">
        <v>105</v>
      </c>
      <c r="B106" s="10" t="s">
        <v>115</v>
      </c>
      <c r="C106" s="4">
        <v>69</v>
      </c>
      <c r="D106" s="10" t="s">
        <v>14</v>
      </c>
      <c r="E106" s="9">
        <v>5</v>
      </c>
      <c r="F106" s="5">
        <v>45727</v>
      </c>
      <c r="G106" s="5">
        <v>45759</v>
      </c>
      <c r="H106" s="4">
        <v>3</v>
      </c>
      <c r="I106" s="4">
        <v>7203</v>
      </c>
      <c r="J106" s="10" t="str">
        <f>VLOOKUP(E106,Diagnosis!$A$2:$B$11,2,FALSE)</f>
        <v>Stroke</v>
      </c>
      <c r="K106" s="10" t="str">
        <f>VLOOKUP(H106,Outcomes!$A$2:$B$4,2,FALSE)</f>
        <v>Deceased</v>
      </c>
      <c r="L106" s="9">
        <f t="shared" si="6"/>
        <v>32</v>
      </c>
      <c r="M106" s="10" t="str">
        <f>_xlfn.IFNA(IF(VLOOKUP(Patients!A106,Labs!$B$2:$D$201,3,FALSE)&gt;120,"High","Normal"),"Not Applicable")</f>
        <v>Not Applicable</v>
      </c>
      <c r="N106" s="12" t="str">
        <f t="shared" si="7"/>
        <v>High Risk</v>
      </c>
    </row>
    <row r="107" spans="1:14" x14ac:dyDescent="0.2">
      <c r="A107" s="4">
        <v>106</v>
      </c>
      <c r="B107" s="10" t="s">
        <v>116</v>
      </c>
      <c r="C107" s="4">
        <v>50</v>
      </c>
      <c r="D107" s="10" t="s">
        <v>14</v>
      </c>
      <c r="E107" s="9">
        <v>1</v>
      </c>
      <c r="F107" s="5">
        <v>45816</v>
      </c>
      <c r="G107" s="5">
        <v>45826</v>
      </c>
      <c r="H107" s="4">
        <v>1</v>
      </c>
      <c r="I107" s="4">
        <v>5432</v>
      </c>
      <c r="J107" s="10" t="str">
        <f>VLOOKUP(E107,Diagnosis!$A$2:$B$11,2,FALSE)</f>
        <v>Hypertension</v>
      </c>
      <c r="K107" s="10" t="str">
        <f>VLOOKUP(H107,Outcomes!$A$2:$B$4,2,FALSE)</f>
        <v>Recovered</v>
      </c>
      <c r="L107" s="9">
        <f t="shared" si="6"/>
        <v>10</v>
      </c>
      <c r="M107" s="10" t="str">
        <f>_xlfn.IFNA(IF(VLOOKUP(Patients!A107,Labs!$B$2:$D$201,3,FALSE)&gt;120,"High","Normal"),"Not Applicable")</f>
        <v>High</v>
      </c>
      <c r="N107" s="12" t="str">
        <f t="shared" si="7"/>
        <v>Low Risk</v>
      </c>
    </row>
    <row r="108" spans="1:14" x14ac:dyDescent="0.2">
      <c r="A108" s="4">
        <v>107</v>
      </c>
      <c r="B108" s="10" t="s">
        <v>117</v>
      </c>
      <c r="C108" s="4">
        <v>45</v>
      </c>
      <c r="D108" s="10" t="s">
        <v>14</v>
      </c>
      <c r="E108" s="9">
        <v>8</v>
      </c>
      <c r="F108" s="5">
        <v>45676</v>
      </c>
      <c r="G108" s="5">
        <v>45844</v>
      </c>
      <c r="H108" s="4">
        <v>1</v>
      </c>
      <c r="I108" s="4">
        <v>2688</v>
      </c>
      <c r="J108" s="10" t="str">
        <f>VLOOKUP(E108,Diagnosis!$A$2:$B$11,2,FALSE)</f>
        <v>Arthritis</v>
      </c>
      <c r="K108" s="10" t="str">
        <f>VLOOKUP(H108,Outcomes!$A$2:$B$4,2,FALSE)</f>
        <v>Recovered</v>
      </c>
      <c r="L108" s="9">
        <f t="shared" si="6"/>
        <v>168</v>
      </c>
      <c r="M108" s="10" t="str">
        <f>_xlfn.IFNA(IF(VLOOKUP(Patients!A108,Labs!$B$2:$D$201,3,FALSE)&gt;120,"High","Normal"),"Not Applicable")</f>
        <v>Normal</v>
      </c>
      <c r="N108" s="12" t="str">
        <f t="shared" si="7"/>
        <v>Low Risk</v>
      </c>
    </row>
    <row r="109" spans="1:14" x14ac:dyDescent="0.2">
      <c r="A109" s="4">
        <v>108</v>
      </c>
      <c r="B109" s="10" t="s">
        <v>118</v>
      </c>
      <c r="C109" s="4">
        <v>74</v>
      </c>
      <c r="D109" s="10" t="s">
        <v>10</v>
      </c>
      <c r="E109" s="9">
        <v>5</v>
      </c>
      <c r="F109" s="5">
        <v>45765</v>
      </c>
      <c r="G109" s="5">
        <v>45771</v>
      </c>
      <c r="H109" s="4">
        <v>1</v>
      </c>
      <c r="I109" s="4">
        <v>6243</v>
      </c>
      <c r="J109" s="10" t="str">
        <f>VLOOKUP(E109,Diagnosis!$A$2:$B$11,2,FALSE)</f>
        <v>Stroke</v>
      </c>
      <c r="K109" s="10" t="str">
        <f>VLOOKUP(H109,Outcomes!$A$2:$B$4,2,FALSE)</f>
        <v>Recovered</v>
      </c>
      <c r="L109" s="9">
        <f t="shared" si="6"/>
        <v>6</v>
      </c>
      <c r="M109" s="10" t="str">
        <f>_xlfn.IFNA(IF(VLOOKUP(Patients!A109,Labs!$B$2:$D$201,3,FALSE)&gt;120,"High","Normal"),"Not Applicable")</f>
        <v>High</v>
      </c>
      <c r="N109" s="12" t="str">
        <f t="shared" si="7"/>
        <v>Low Risk</v>
      </c>
    </row>
    <row r="110" spans="1:14" x14ac:dyDescent="0.2">
      <c r="A110" s="4">
        <v>109</v>
      </c>
      <c r="B110" s="10" t="s">
        <v>119</v>
      </c>
      <c r="C110" s="4">
        <v>47</v>
      </c>
      <c r="D110" s="10" t="s">
        <v>10</v>
      </c>
      <c r="E110" s="9">
        <v>5</v>
      </c>
      <c r="F110" s="5">
        <v>45824</v>
      </c>
      <c r="G110" s="5">
        <v>45834</v>
      </c>
      <c r="H110" s="4">
        <v>3</v>
      </c>
      <c r="I110" s="4">
        <v>5701</v>
      </c>
      <c r="J110" s="10" t="str">
        <f>VLOOKUP(E110,Diagnosis!$A$2:$B$11,2,FALSE)</f>
        <v>Stroke</v>
      </c>
      <c r="K110" s="10" t="str">
        <f>VLOOKUP(H110,Outcomes!$A$2:$B$4,2,FALSE)</f>
        <v>Deceased</v>
      </c>
      <c r="L110" s="9">
        <f t="shared" si="6"/>
        <v>10</v>
      </c>
      <c r="M110" s="10" t="str">
        <f>_xlfn.IFNA(IF(VLOOKUP(Patients!A110,Labs!$B$2:$D$201,3,FALSE)&gt;120,"High","Normal"),"Not Applicable")</f>
        <v>Normal</v>
      </c>
      <c r="N110" s="12" t="str">
        <f t="shared" si="7"/>
        <v>Low Risk</v>
      </c>
    </row>
    <row r="111" spans="1:14" x14ac:dyDescent="0.2">
      <c r="A111" s="4">
        <v>110</v>
      </c>
      <c r="B111" s="10" t="s">
        <v>120</v>
      </c>
      <c r="C111" s="4">
        <v>76</v>
      </c>
      <c r="D111" s="10" t="s">
        <v>14</v>
      </c>
      <c r="E111" s="9">
        <v>7</v>
      </c>
      <c r="F111" s="5">
        <v>45748</v>
      </c>
      <c r="G111" s="5">
        <v>45752</v>
      </c>
      <c r="H111" s="4">
        <v>3</v>
      </c>
      <c r="I111" s="4">
        <v>2341</v>
      </c>
      <c r="J111" s="10" t="str">
        <f>VLOOKUP(E111,Diagnosis!$A$2:$B$11,2,FALSE)</f>
        <v>Cancer</v>
      </c>
      <c r="K111" s="10" t="str">
        <f>VLOOKUP(H111,Outcomes!$A$2:$B$4,2,FALSE)</f>
        <v>Deceased</v>
      </c>
      <c r="L111" s="9">
        <f t="shared" si="6"/>
        <v>4</v>
      </c>
      <c r="M111" s="10" t="str">
        <f>_xlfn.IFNA(IF(VLOOKUP(Patients!A111,Labs!$B$2:$D$201,3,FALSE)&gt;120,"High","Normal"),"Not Applicable")</f>
        <v>Not Applicable</v>
      </c>
      <c r="N111" s="12" t="str">
        <f t="shared" si="7"/>
        <v>High Risk</v>
      </c>
    </row>
    <row r="112" spans="1:14" x14ac:dyDescent="0.2">
      <c r="A112" s="4">
        <v>111</v>
      </c>
      <c r="B112" s="10" t="s">
        <v>121</v>
      </c>
      <c r="C112" s="4">
        <v>82</v>
      </c>
      <c r="D112" s="10" t="s">
        <v>14</v>
      </c>
      <c r="E112" s="9">
        <v>4</v>
      </c>
      <c r="F112" s="5">
        <v>45747</v>
      </c>
      <c r="G112" s="5">
        <v>45813</v>
      </c>
      <c r="H112" s="4">
        <v>2</v>
      </c>
      <c r="I112" s="4">
        <v>8619</v>
      </c>
      <c r="J112" s="10" t="str">
        <f>VLOOKUP(E112,Diagnosis!$A$2:$B$11,2,FALSE)</f>
        <v>Asthma</v>
      </c>
      <c r="K112" s="10" t="str">
        <f>VLOOKUP(H112,Outcomes!$A$2:$B$4,2,FALSE)</f>
        <v>Complicated</v>
      </c>
      <c r="L112" s="9">
        <f t="shared" si="6"/>
        <v>66</v>
      </c>
      <c r="M112" s="10" t="str">
        <f>_xlfn.IFNA(IF(VLOOKUP(Patients!A112,Labs!$B$2:$D$201,3,FALSE)&gt;120,"High","Normal"),"Not Applicable")</f>
        <v>Normal</v>
      </c>
      <c r="N112" s="12" t="str">
        <f t="shared" si="7"/>
        <v>High Risk</v>
      </c>
    </row>
    <row r="113" spans="1:14" x14ac:dyDescent="0.2">
      <c r="A113" s="4">
        <v>112</v>
      </c>
      <c r="B113" s="10" t="s">
        <v>122</v>
      </c>
      <c r="C113" s="4">
        <v>53</v>
      </c>
      <c r="D113" s="10" t="s">
        <v>10</v>
      </c>
      <c r="E113" s="9">
        <v>6</v>
      </c>
      <c r="F113" s="5">
        <v>45676</v>
      </c>
      <c r="G113" s="5">
        <v>45687</v>
      </c>
      <c r="H113" s="4">
        <v>2</v>
      </c>
      <c r="I113" s="4">
        <v>7182</v>
      </c>
      <c r="J113" s="10" t="str">
        <f>VLOOKUP(E113,Diagnosis!$A$2:$B$11,2,FALSE)</f>
        <v>COPD</v>
      </c>
      <c r="K113" s="10" t="str">
        <f>VLOOKUP(H113,Outcomes!$A$2:$B$4,2,FALSE)</f>
        <v>Complicated</v>
      </c>
      <c r="L113" s="9">
        <f t="shared" si="6"/>
        <v>11</v>
      </c>
      <c r="M113" s="10" t="str">
        <f>_xlfn.IFNA(IF(VLOOKUP(Patients!A113,Labs!$B$2:$D$201,3,FALSE)&gt;120,"High","Normal"),"Not Applicable")</f>
        <v>High</v>
      </c>
      <c r="N113" s="12" t="str">
        <f t="shared" si="7"/>
        <v>Low Risk</v>
      </c>
    </row>
    <row r="114" spans="1:14" x14ac:dyDescent="0.2">
      <c r="A114" s="4">
        <v>113</v>
      </c>
      <c r="B114" s="10" t="s">
        <v>123</v>
      </c>
      <c r="C114" s="4">
        <v>55</v>
      </c>
      <c r="D114" s="10" t="s">
        <v>10</v>
      </c>
      <c r="E114" s="9">
        <v>4</v>
      </c>
      <c r="F114" s="5">
        <v>45696</v>
      </c>
      <c r="G114" s="5">
        <v>45698</v>
      </c>
      <c r="H114" s="4">
        <v>2</v>
      </c>
      <c r="I114" s="4">
        <v>3724</v>
      </c>
      <c r="J114" s="10" t="str">
        <f>VLOOKUP(E114,Diagnosis!$A$2:$B$11,2,FALSE)</f>
        <v>Asthma</v>
      </c>
      <c r="K114" s="10" t="str">
        <f>VLOOKUP(H114,Outcomes!$A$2:$B$4,2,FALSE)</f>
        <v>Complicated</v>
      </c>
      <c r="L114" s="9">
        <f t="shared" si="6"/>
        <v>2</v>
      </c>
      <c r="M114" s="10" t="str">
        <f>_xlfn.IFNA(IF(VLOOKUP(Patients!A114,Labs!$B$2:$D$201,3,FALSE)&gt;120,"High","Normal"),"Not Applicable")</f>
        <v>High</v>
      </c>
      <c r="N114" s="12" t="str">
        <f t="shared" si="7"/>
        <v>Low Risk</v>
      </c>
    </row>
    <row r="115" spans="1:14" x14ac:dyDescent="0.2">
      <c r="A115" s="4">
        <v>114</v>
      </c>
      <c r="B115" s="10" t="s">
        <v>124</v>
      </c>
      <c r="C115" s="4">
        <v>54</v>
      </c>
      <c r="D115" s="10" t="s">
        <v>14</v>
      </c>
      <c r="E115" s="9">
        <v>3</v>
      </c>
      <c r="F115" s="5">
        <v>45783</v>
      </c>
      <c r="G115" s="5">
        <v>45784</v>
      </c>
      <c r="H115" s="4">
        <v>1</v>
      </c>
      <c r="I115" s="4">
        <v>7479</v>
      </c>
      <c r="J115" s="10" t="str">
        <f>VLOOKUP(E115,Diagnosis!$A$2:$B$11,2,FALSE)</f>
        <v>Heart Disease</v>
      </c>
      <c r="K115" s="10" t="str">
        <f>VLOOKUP(H115,Outcomes!$A$2:$B$4,2,FALSE)</f>
        <v>Recovered</v>
      </c>
      <c r="L115" s="9">
        <f t="shared" si="6"/>
        <v>1</v>
      </c>
      <c r="M115" s="10" t="str">
        <f>_xlfn.IFNA(IF(VLOOKUP(Patients!A115,Labs!$B$2:$D$201,3,FALSE)&gt;120,"High","Normal"),"Not Applicable")</f>
        <v>Normal</v>
      </c>
      <c r="N115" s="12" t="str">
        <f t="shared" si="7"/>
        <v>Low Risk</v>
      </c>
    </row>
    <row r="116" spans="1:14" x14ac:dyDescent="0.2">
      <c r="A116" s="4">
        <v>115</v>
      </c>
      <c r="B116" s="10" t="s">
        <v>125</v>
      </c>
      <c r="C116" s="4">
        <v>89</v>
      </c>
      <c r="D116" s="10" t="s">
        <v>10</v>
      </c>
      <c r="E116" s="9">
        <v>7</v>
      </c>
      <c r="F116" s="5">
        <v>45830</v>
      </c>
      <c r="G116" s="5">
        <v>45836</v>
      </c>
      <c r="H116" s="4">
        <v>1</v>
      </c>
      <c r="I116" s="4">
        <v>8704</v>
      </c>
      <c r="J116" s="10" t="str">
        <f>VLOOKUP(E116,Diagnosis!$A$2:$B$11,2,FALSE)</f>
        <v>Cancer</v>
      </c>
      <c r="K116" s="10" t="str">
        <f>VLOOKUP(H116,Outcomes!$A$2:$B$4,2,FALSE)</f>
        <v>Recovered</v>
      </c>
      <c r="L116" s="9">
        <f t="shared" si="6"/>
        <v>6</v>
      </c>
      <c r="M116" s="10" t="str">
        <f>_xlfn.IFNA(IF(VLOOKUP(Patients!A116,Labs!$B$2:$D$201,3,FALSE)&gt;120,"High","Normal"),"Not Applicable")</f>
        <v>High</v>
      </c>
      <c r="N116" s="12" t="str">
        <f t="shared" si="7"/>
        <v>Low Risk</v>
      </c>
    </row>
    <row r="117" spans="1:14" x14ac:dyDescent="0.2">
      <c r="A117" s="4">
        <v>116</v>
      </c>
      <c r="B117" s="10" t="s">
        <v>126</v>
      </c>
      <c r="C117" s="4">
        <v>89</v>
      </c>
      <c r="D117" s="10" t="s">
        <v>14</v>
      </c>
      <c r="E117" s="9">
        <v>8</v>
      </c>
      <c r="F117" s="5">
        <v>45798</v>
      </c>
      <c r="G117" s="5">
        <v>45802</v>
      </c>
      <c r="H117" s="4">
        <v>2</v>
      </c>
      <c r="I117" s="4">
        <v>6422</v>
      </c>
      <c r="J117" s="10" t="str">
        <f>VLOOKUP(E117,Diagnosis!$A$2:$B$11,2,FALSE)</f>
        <v>Arthritis</v>
      </c>
      <c r="K117" s="10" t="str">
        <f>VLOOKUP(H117,Outcomes!$A$2:$B$4,2,FALSE)</f>
        <v>Complicated</v>
      </c>
      <c r="L117" s="9">
        <f t="shared" si="6"/>
        <v>4</v>
      </c>
      <c r="M117" s="10" t="str">
        <f>_xlfn.IFNA(IF(VLOOKUP(Patients!A117,Labs!$B$2:$D$201,3,FALSE)&gt;120,"High","Normal"),"Not Applicable")</f>
        <v>High</v>
      </c>
      <c r="N117" s="12" t="str">
        <f t="shared" si="7"/>
        <v>High Risk</v>
      </c>
    </row>
    <row r="118" spans="1:14" x14ac:dyDescent="0.2">
      <c r="A118" s="4">
        <v>117</v>
      </c>
      <c r="B118" s="10" t="s">
        <v>127</v>
      </c>
      <c r="C118" s="4">
        <v>89</v>
      </c>
      <c r="D118" s="10" t="s">
        <v>14</v>
      </c>
      <c r="E118" s="9">
        <v>4</v>
      </c>
      <c r="F118" s="5">
        <v>45783</v>
      </c>
      <c r="G118" s="5">
        <v>45788</v>
      </c>
      <c r="H118" s="4">
        <v>1</v>
      </c>
      <c r="I118" s="4">
        <v>3792</v>
      </c>
      <c r="J118" s="10" t="str">
        <f>VLOOKUP(E118,Diagnosis!$A$2:$B$11,2,FALSE)</f>
        <v>Asthma</v>
      </c>
      <c r="K118" s="10" t="str">
        <f>VLOOKUP(H118,Outcomes!$A$2:$B$4,2,FALSE)</f>
        <v>Recovered</v>
      </c>
      <c r="L118" s="9">
        <f t="shared" si="6"/>
        <v>5</v>
      </c>
      <c r="M118" s="10" t="str">
        <f>_xlfn.IFNA(IF(VLOOKUP(Patients!A118,Labs!$B$2:$D$201,3,FALSE)&gt;120,"High","Normal"),"Not Applicable")</f>
        <v>High</v>
      </c>
      <c r="N118" s="12" t="str">
        <f t="shared" si="7"/>
        <v>Low Risk</v>
      </c>
    </row>
    <row r="119" spans="1:14" x14ac:dyDescent="0.2">
      <c r="A119" s="4">
        <v>118</v>
      </c>
      <c r="B119" s="10" t="s">
        <v>128</v>
      </c>
      <c r="C119" s="4">
        <v>74</v>
      </c>
      <c r="D119" s="10" t="s">
        <v>10</v>
      </c>
      <c r="E119" s="9">
        <v>2</v>
      </c>
      <c r="F119" s="5">
        <v>45715</v>
      </c>
      <c r="G119" s="5">
        <v>45815</v>
      </c>
      <c r="H119" s="4">
        <v>2</v>
      </c>
      <c r="I119" s="4">
        <v>3759</v>
      </c>
      <c r="J119" s="10" t="str">
        <f>VLOOKUP(E119,Diagnosis!$A$2:$B$11,2,FALSE)</f>
        <v>Diabetes</v>
      </c>
      <c r="K119" s="10" t="str">
        <f>VLOOKUP(H119,Outcomes!$A$2:$B$4,2,FALSE)</f>
        <v>Complicated</v>
      </c>
      <c r="L119" s="9">
        <f t="shared" si="6"/>
        <v>100</v>
      </c>
      <c r="M119" s="10" t="str">
        <f>_xlfn.IFNA(IF(VLOOKUP(Patients!A119,Labs!$B$2:$D$201,3,FALSE)&gt;120,"High","Normal"),"Not Applicable")</f>
        <v>High</v>
      </c>
      <c r="N119" s="12" t="str">
        <f t="shared" si="7"/>
        <v>High Risk</v>
      </c>
    </row>
    <row r="120" spans="1:14" x14ac:dyDescent="0.2">
      <c r="A120" s="4">
        <v>119</v>
      </c>
      <c r="B120" s="10" t="s">
        <v>129</v>
      </c>
      <c r="C120" s="4">
        <v>70</v>
      </c>
      <c r="D120" s="10" t="s">
        <v>10</v>
      </c>
      <c r="E120" s="9">
        <v>10</v>
      </c>
      <c r="F120" s="5">
        <v>45805</v>
      </c>
      <c r="G120" s="5">
        <v>45807</v>
      </c>
      <c r="H120" s="4">
        <v>3</v>
      </c>
      <c r="I120" s="4">
        <v>5212</v>
      </c>
      <c r="J120" s="10" t="str">
        <f>VLOOKUP(E120,Diagnosis!$A$2:$B$11,2,FALSE)</f>
        <v>Liver Disease</v>
      </c>
      <c r="K120" s="10" t="str">
        <f>VLOOKUP(H120,Outcomes!$A$2:$B$4,2,FALSE)</f>
        <v>Deceased</v>
      </c>
      <c r="L120" s="9">
        <f t="shared" si="6"/>
        <v>2</v>
      </c>
      <c r="M120" s="10" t="str">
        <f>_xlfn.IFNA(IF(VLOOKUP(Patients!A120,Labs!$B$2:$D$201,3,FALSE)&gt;120,"High","Normal"),"Not Applicable")</f>
        <v>Normal</v>
      </c>
      <c r="N120" s="12" t="str">
        <f t="shared" si="7"/>
        <v>High Risk</v>
      </c>
    </row>
    <row r="121" spans="1:14" x14ac:dyDescent="0.2">
      <c r="A121" s="4">
        <v>120</v>
      </c>
      <c r="B121" s="10" t="s">
        <v>130</v>
      </c>
      <c r="C121" s="4">
        <v>58</v>
      </c>
      <c r="D121" s="10" t="s">
        <v>14</v>
      </c>
      <c r="E121" s="9">
        <v>3</v>
      </c>
      <c r="F121" s="5">
        <v>45718</v>
      </c>
      <c r="G121" s="5">
        <v>45722</v>
      </c>
      <c r="H121" s="4">
        <v>2</v>
      </c>
      <c r="I121" s="4">
        <v>2989</v>
      </c>
      <c r="J121" s="10" t="str">
        <f>VLOOKUP(E121,Diagnosis!$A$2:$B$11,2,FALSE)</f>
        <v>Heart Disease</v>
      </c>
      <c r="K121" s="10" t="str">
        <f>VLOOKUP(H121,Outcomes!$A$2:$B$4,2,FALSE)</f>
        <v>Complicated</v>
      </c>
      <c r="L121" s="9">
        <f t="shared" si="6"/>
        <v>4</v>
      </c>
      <c r="M121" s="10" t="str">
        <f>_xlfn.IFNA(IF(VLOOKUP(Patients!A121,Labs!$B$2:$D$201,3,FALSE)&gt;120,"High","Normal"),"Not Applicable")</f>
        <v>Normal</v>
      </c>
      <c r="N121" s="12" t="str">
        <f t="shared" si="7"/>
        <v>Low Risk</v>
      </c>
    </row>
    <row r="122" spans="1:14" x14ac:dyDescent="0.2">
      <c r="A122" s="4">
        <v>121</v>
      </c>
      <c r="B122" s="10" t="s">
        <v>131</v>
      </c>
      <c r="C122" s="4">
        <v>44</v>
      </c>
      <c r="D122" s="10" t="s">
        <v>14</v>
      </c>
      <c r="E122" s="9">
        <v>1</v>
      </c>
      <c r="F122" s="5">
        <v>45784</v>
      </c>
      <c r="G122" s="5">
        <v>45799</v>
      </c>
      <c r="H122" s="4">
        <v>3</v>
      </c>
      <c r="I122" s="4">
        <v>4262</v>
      </c>
      <c r="J122" s="10" t="str">
        <f>VLOOKUP(E122,Diagnosis!$A$2:$B$11,2,FALSE)</f>
        <v>Hypertension</v>
      </c>
      <c r="K122" s="10" t="str">
        <f>VLOOKUP(H122,Outcomes!$A$2:$B$4,2,FALSE)</f>
        <v>Deceased</v>
      </c>
      <c r="L122" s="9">
        <f t="shared" si="6"/>
        <v>15</v>
      </c>
      <c r="M122" s="10" t="str">
        <f>_xlfn.IFNA(IF(VLOOKUP(Patients!A122,Labs!$B$2:$D$201,3,FALSE)&gt;120,"High","Normal"),"Not Applicable")</f>
        <v>Not Applicable</v>
      </c>
      <c r="N122" s="12" t="str">
        <f t="shared" si="7"/>
        <v>Low Risk</v>
      </c>
    </row>
    <row r="123" spans="1:14" x14ac:dyDescent="0.2">
      <c r="A123" s="4">
        <v>122</v>
      </c>
      <c r="B123" s="10" t="s">
        <v>132</v>
      </c>
      <c r="C123" s="4">
        <v>74</v>
      </c>
      <c r="D123" s="10" t="s">
        <v>10</v>
      </c>
      <c r="E123" s="9">
        <v>8</v>
      </c>
      <c r="F123" s="5">
        <v>45762</v>
      </c>
      <c r="G123" s="5">
        <v>45764</v>
      </c>
      <c r="H123" s="4">
        <v>1</v>
      </c>
      <c r="I123" s="4">
        <v>4482</v>
      </c>
      <c r="J123" s="10" t="str">
        <f>VLOOKUP(E123,Diagnosis!$A$2:$B$11,2,FALSE)</f>
        <v>Arthritis</v>
      </c>
      <c r="K123" s="10" t="str">
        <f>VLOOKUP(H123,Outcomes!$A$2:$B$4,2,FALSE)</f>
        <v>Recovered</v>
      </c>
      <c r="L123" s="9">
        <f t="shared" si="6"/>
        <v>2</v>
      </c>
      <c r="M123" s="10" t="str">
        <f>_xlfn.IFNA(IF(VLOOKUP(Patients!A123,Labs!$B$2:$D$201,3,FALSE)&gt;120,"High","Normal"),"Not Applicable")</f>
        <v>Normal</v>
      </c>
      <c r="N123" s="12" t="str">
        <f t="shared" si="7"/>
        <v>Low Risk</v>
      </c>
    </row>
    <row r="124" spans="1:14" x14ac:dyDescent="0.2">
      <c r="A124" s="4">
        <v>123</v>
      </c>
      <c r="B124" s="10" t="s">
        <v>133</v>
      </c>
      <c r="C124" s="4">
        <v>30</v>
      </c>
      <c r="D124" s="10" t="s">
        <v>14</v>
      </c>
      <c r="E124" s="9">
        <v>3</v>
      </c>
      <c r="F124" s="5">
        <v>45824</v>
      </c>
      <c r="G124" s="5">
        <v>45831</v>
      </c>
      <c r="H124" s="4">
        <v>2</v>
      </c>
      <c r="I124" s="4">
        <v>2951</v>
      </c>
      <c r="J124" s="10" t="str">
        <f>VLOOKUP(E124,Diagnosis!$A$2:$B$11,2,FALSE)</f>
        <v>Heart Disease</v>
      </c>
      <c r="K124" s="10" t="str">
        <f>VLOOKUP(H124,Outcomes!$A$2:$B$4,2,FALSE)</f>
        <v>Complicated</v>
      </c>
      <c r="L124" s="9">
        <f t="shared" si="6"/>
        <v>7</v>
      </c>
      <c r="M124" s="10" t="str">
        <f>_xlfn.IFNA(IF(VLOOKUP(Patients!A124,Labs!$B$2:$D$201,3,FALSE)&gt;120,"High","Normal"),"Not Applicable")</f>
        <v>Not Applicable</v>
      </c>
      <c r="N124" s="12" t="str">
        <f t="shared" si="7"/>
        <v>Low Risk</v>
      </c>
    </row>
    <row r="125" spans="1:14" x14ac:dyDescent="0.2">
      <c r="A125" s="4">
        <v>124</v>
      </c>
      <c r="B125" s="10" t="s">
        <v>134</v>
      </c>
      <c r="C125" s="4">
        <v>54</v>
      </c>
      <c r="D125" s="10" t="s">
        <v>10</v>
      </c>
      <c r="E125" s="9">
        <v>10</v>
      </c>
      <c r="F125" s="5">
        <v>45658</v>
      </c>
      <c r="G125" s="5">
        <v>45712</v>
      </c>
      <c r="H125" s="4">
        <v>1</v>
      </c>
      <c r="I125" s="4">
        <v>2722</v>
      </c>
      <c r="J125" s="10" t="str">
        <f>VLOOKUP(E125,Diagnosis!$A$2:$B$11,2,FALSE)</f>
        <v>Liver Disease</v>
      </c>
      <c r="K125" s="10" t="str">
        <f>VLOOKUP(H125,Outcomes!$A$2:$B$4,2,FALSE)</f>
        <v>Recovered</v>
      </c>
      <c r="L125" s="9">
        <f t="shared" si="6"/>
        <v>54</v>
      </c>
      <c r="M125" s="10" t="str">
        <f>_xlfn.IFNA(IF(VLOOKUP(Patients!A125,Labs!$B$2:$D$201,3,FALSE)&gt;120,"High","Normal"),"Not Applicable")</f>
        <v>Not Applicable</v>
      </c>
      <c r="N125" s="12" t="str">
        <f t="shared" si="7"/>
        <v>Low Risk</v>
      </c>
    </row>
    <row r="126" spans="1:14" x14ac:dyDescent="0.2">
      <c r="A126" s="4">
        <v>125</v>
      </c>
      <c r="B126" s="10" t="s">
        <v>135</v>
      </c>
      <c r="C126" s="4">
        <v>36</v>
      </c>
      <c r="D126" s="10" t="s">
        <v>14</v>
      </c>
      <c r="E126" s="9">
        <v>7</v>
      </c>
      <c r="F126" s="5">
        <v>45788</v>
      </c>
      <c r="G126" s="5">
        <v>45793</v>
      </c>
      <c r="H126" s="4">
        <v>3</v>
      </c>
      <c r="I126" s="4">
        <v>5389</v>
      </c>
      <c r="J126" s="10" t="str">
        <f>VLOOKUP(E126,Diagnosis!$A$2:$B$11,2,FALSE)</f>
        <v>Cancer</v>
      </c>
      <c r="K126" s="10" t="str">
        <f>VLOOKUP(H126,Outcomes!$A$2:$B$4,2,FALSE)</f>
        <v>Deceased</v>
      </c>
      <c r="L126" s="9">
        <f t="shared" si="6"/>
        <v>5</v>
      </c>
      <c r="M126" s="10" t="str">
        <f>_xlfn.IFNA(IF(VLOOKUP(Patients!A126,Labs!$B$2:$D$201,3,FALSE)&gt;120,"High","Normal"),"Not Applicable")</f>
        <v>High</v>
      </c>
      <c r="N126" s="12" t="str">
        <f t="shared" si="7"/>
        <v>Low Risk</v>
      </c>
    </row>
    <row r="127" spans="1:14" x14ac:dyDescent="0.2">
      <c r="A127" s="4">
        <v>126</v>
      </c>
      <c r="B127" s="10" t="s">
        <v>136</v>
      </c>
      <c r="C127" s="4">
        <v>38</v>
      </c>
      <c r="D127" s="10" t="s">
        <v>10</v>
      </c>
      <c r="E127" s="9">
        <v>10</v>
      </c>
      <c r="F127" s="5">
        <v>45749</v>
      </c>
      <c r="G127" s="5">
        <v>45843</v>
      </c>
      <c r="H127" s="4">
        <v>3</v>
      </c>
      <c r="I127" s="4">
        <v>4079</v>
      </c>
      <c r="J127" s="10" t="str">
        <f>VLOOKUP(E127,Diagnosis!$A$2:$B$11,2,FALSE)</f>
        <v>Liver Disease</v>
      </c>
      <c r="K127" s="10" t="str">
        <f>VLOOKUP(H127,Outcomes!$A$2:$B$4,2,FALSE)</f>
        <v>Deceased</v>
      </c>
      <c r="L127" s="9">
        <f t="shared" si="6"/>
        <v>94</v>
      </c>
      <c r="M127" s="10" t="str">
        <f>_xlfn.IFNA(IF(VLOOKUP(Patients!A127,Labs!$B$2:$D$201,3,FALSE)&gt;120,"High","Normal"),"Not Applicable")</f>
        <v>Not Applicable</v>
      </c>
      <c r="N127" s="12" t="str">
        <f t="shared" si="7"/>
        <v>Low Risk</v>
      </c>
    </row>
    <row r="128" spans="1:14" x14ac:dyDescent="0.2">
      <c r="A128" s="4">
        <v>127</v>
      </c>
      <c r="B128" s="10" t="s">
        <v>137</v>
      </c>
      <c r="C128" s="4">
        <v>53</v>
      </c>
      <c r="D128" s="10" t="s">
        <v>10</v>
      </c>
      <c r="E128" s="9">
        <v>5</v>
      </c>
      <c r="F128" s="5">
        <v>45770</v>
      </c>
      <c r="G128" s="5">
        <v>45778</v>
      </c>
      <c r="H128" s="4">
        <v>3</v>
      </c>
      <c r="I128" s="4">
        <v>4717</v>
      </c>
      <c r="J128" s="10" t="str">
        <f>VLOOKUP(E128,Diagnosis!$A$2:$B$11,2,FALSE)</f>
        <v>Stroke</v>
      </c>
      <c r="K128" s="10" t="str">
        <f>VLOOKUP(H128,Outcomes!$A$2:$B$4,2,FALSE)</f>
        <v>Deceased</v>
      </c>
      <c r="L128" s="9">
        <f t="shared" si="6"/>
        <v>8</v>
      </c>
      <c r="M128" s="10" t="str">
        <f>_xlfn.IFNA(IF(VLOOKUP(Patients!A128,Labs!$B$2:$D$201,3,FALSE)&gt;120,"High","Normal"),"Not Applicable")</f>
        <v>Not Applicable</v>
      </c>
      <c r="N128" s="12" t="str">
        <f t="shared" si="7"/>
        <v>Low Risk</v>
      </c>
    </row>
    <row r="129" spans="1:14" x14ac:dyDescent="0.2">
      <c r="A129" s="4">
        <v>128</v>
      </c>
      <c r="B129" s="10" t="s">
        <v>138</v>
      </c>
      <c r="C129" s="4">
        <v>30</v>
      </c>
      <c r="D129" s="10" t="s">
        <v>10</v>
      </c>
      <c r="E129" s="9">
        <v>10</v>
      </c>
      <c r="F129" s="5">
        <v>45810</v>
      </c>
      <c r="G129" s="5">
        <v>45816</v>
      </c>
      <c r="H129" s="4">
        <v>1</v>
      </c>
      <c r="I129" s="4">
        <v>4332</v>
      </c>
      <c r="J129" s="10" t="str">
        <f>VLOOKUP(E129,Diagnosis!$A$2:$B$11,2,FALSE)</f>
        <v>Liver Disease</v>
      </c>
      <c r="K129" s="10" t="str">
        <f>VLOOKUP(H129,Outcomes!$A$2:$B$4,2,FALSE)</f>
        <v>Recovered</v>
      </c>
      <c r="L129" s="9">
        <f t="shared" si="6"/>
        <v>6</v>
      </c>
      <c r="M129" s="10" t="str">
        <f>_xlfn.IFNA(IF(VLOOKUP(Patients!A129,Labs!$B$2:$D$201,3,FALSE)&gt;120,"High","Normal"),"Not Applicable")</f>
        <v>Normal</v>
      </c>
      <c r="N129" s="12" t="str">
        <f t="shared" si="7"/>
        <v>Low Risk</v>
      </c>
    </row>
    <row r="130" spans="1:14" x14ac:dyDescent="0.2">
      <c r="A130" s="4">
        <v>129</v>
      </c>
      <c r="B130" s="10" t="s">
        <v>139</v>
      </c>
      <c r="C130" s="4">
        <v>73</v>
      </c>
      <c r="D130" s="10" t="s">
        <v>14</v>
      </c>
      <c r="E130" s="9">
        <v>5</v>
      </c>
      <c r="F130" s="5">
        <v>45713</v>
      </c>
      <c r="G130" s="5">
        <v>45821</v>
      </c>
      <c r="H130" s="4">
        <v>1</v>
      </c>
      <c r="I130" s="4">
        <v>5376</v>
      </c>
      <c r="J130" s="10" t="str">
        <f>VLOOKUP(E130,Diagnosis!$A$2:$B$11,2,FALSE)</f>
        <v>Stroke</v>
      </c>
      <c r="K130" s="10" t="str">
        <f>VLOOKUP(H130,Outcomes!$A$2:$B$4,2,FALSE)</f>
        <v>Recovered</v>
      </c>
      <c r="L130" s="9">
        <f t="shared" ref="L130:L161" si="8">DATEDIF(F130,G130,"d")</f>
        <v>108</v>
      </c>
      <c r="M130" s="10" t="str">
        <f>_xlfn.IFNA(IF(VLOOKUP(Patients!A130,Labs!$B$2:$D$201,3,FALSE)&gt;120,"High","Normal"),"Not Applicable")</f>
        <v>Normal</v>
      </c>
      <c r="N130" s="12" t="str">
        <f t="shared" ref="N130:N161" si="9">IF(AND(C130&gt;65,H130&lt;&gt;1),"High Risk","Low Risk")</f>
        <v>Low Risk</v>
      </c>
    </row>
    <row r="131" spans="1:14" x14ac:dyDescent="0.2">
      <c r="A131" s="4">
        <v>130</v>
      </c>
      <c r="B131" s="10" t="s">
        <v>140</v>
      </c>
      <c r="C131" s="4">
        <v>37</v>
      </c>
      <c r="D131" s="10" t="s">
        <v>14</v>
      </c>
      <c r="E131" s="9">
        <v>7</v>
      </c>
      <c r="F131" s="5">
        <v>45818</v>
      </c>
      <c r="G131" s="5">
        <v>45821</v>
      </c>
      <c r="H131" s="4">
        <v>1</v>
      </c>
      <c r="I131" s="4">
        <v>6524</v>
      </c>
      <c r="J131" s="10" t="str">
        <f>VLOOKUP(E131,Diagnosis!$A$2:$B$11,2,FALSE)</f>
        <v>Cancer</v>
      </c>
      <c r="K131" s="10" t="str">
        <f>VLOOKUP(H131,Outcomes!$A$2:$B$4,2,FALSE)</f>
        <v>Recovered</v>
      </c>
      <c r="L131" s="9">
        <f t="shared" si="8"/>
        <v>3</v>
      </c>
      <c r="M131" s="10" t="str">
        <f>_xlfn.IFNA(IF(VLOOKUP(Patients!A131,Labs!$B$2:$D$201,3,FALSE)&gt;120,"High","Normal"),"Not Applicable")</f>
        <v>High</v>
      </c>
      <c r="N131" s="12" t="str">
        <f t="shared" si="9"/>
        <v>Low Risk</v>
      </c>
    </row>
    <row r="132" spans="1:14" x14ac:dyDescent="0.2">
      <c r="A132" s="4">
        <v>131</v>
      </c>
      <c r="B132" s="10" t="s">
        <v>141</v>
      </c>
      <c r="C132" s="4">
        <v>53</v>
      </c>
      <c r="D132" s="10" t="s">
        <v>10</v>
      </c>
      <c r="E132" s="9">
        <v>9</v>
      </c>
      <c r="F132" s="5">
        <v>45823</v>
      </c>
      <c r="G132" s="5">
        <v>45829</v>
      </c>
      <c r="H132" s="4">
        <v>1</v>
      </c>
      <c r="I132" s="4">
        <v>3500</v>
      </c>
      <c r="J132" s="10" t="str">
        <f>VLOOKUP(E132,Diagnosis!$A$2:$B$11,2,FALSE)</f>
        <v>Kidney Disease</v>
      </c>
      <c r="K132" s="10" t="str">
        <f>VLOOKUP(H132,Outcomes!$A$2:$B$4,2,FALSE)</f>
        <v>Recovered</v>
      </c>
      <c r="L132" s="9">
        <f t="shared" si="8"/>
        <v>6</v>
      </c>
      <c r="M132" s="10" t="str">
        <f>_xlfn.IFNA(IF(VLOOKUP(Patients!A132,Labs!$B$2:$D$201,3,FALSE)&gt;120,"High","Normal"),"Not Applicable")</f>
        <v>High</v>
      </c>
      <c r="N132" s="12" t="str">
        <f t="shared" si="9"/>
        <v>Low Risk</v>
      </c>
    </row>
    <row r="133" spans="1:14" x14ac:dyDescent="0.2">
      <c r="A133" s="4">
        <v>132</v>
      </c>
      <c r="B133" s="10" t="s">
        <v>142</v>
      </c>
      <c r="C133" s="4">
        <v>40</v>
      </c>
      <c r="D133" s="10" t="s">
        <v>14</v>
      </c>
      <c r="E133" s="9">
        <v>5</v>
      </c>
      <c r="F133" s="5">
        <v>45774</v>
      </c>
      <c r="G133" s="5">
        <v>45780</v>
      </c>
      <c r="H133" s="4">
        <v>3</v>
      </c>
      <c r="I133" s="4">
        <v>2285</v>
      </c>
      <c r="J133" s="10" t="str">
        <f>VLOOKUP(E133,Diagnosis!$A$2:$B$11,2,FALSE)</f>
        <v>Stroke</v>
      </c>
      <c r="K133" s="10" t="str">
        <f>VLOOKUP(H133,Outcomes!$A$2:$B$4,2,FALSE)</f>
        <v>Deceased</v>
      </c>
      <c r="L133" s="9">
        <f t="shared" si="8"/>
        <v>6</v>
      </c>
      <c r="M133" s="10" t="str">
        <f>_xlfn.IFNA(IF(VLOOKUP(Patients!A133,Labs!$B$2:$D$201,3,FALSE)&gt;120,"High","Normal"),"Not Applicable")</f>
        <v>Not Applicable</v>
      </c>
      <c r="N133" s="12" t="str">
        <f t="shared" si="9"/>
        <v>Low Risk</v>
      </c>
    </row>
    <row r="134" spans="1:14" x14ac:dyDescent="0.2">
      <c r="A134" s="4">
        <v>133</v>
      </c>
      <c r="B134" s="10" t="s">
        <v>143</v>
      </c>
      <c r="C134" s="4">
        <v>80</v>
      </c>
      <c r="D134" s="10" t="s">
        <v>10</v>
      </c>
      <c r="E134" s="9">
        <v>1</v>
      </c>
      <c r="F134" s="5">
        <v>45791</v>
      </c>
      <c r="G134" s="5">
        <v>45795</v>
      </c>
      <c r="H134" s="4">
        <v>3</v>
      </c>
      <c r="I134" s="4">
        <v>9311</v>
      </c>
      <c r="J134" s="10" t="str">
        <f>VLOOKUP(E134,Diagnosis!$A$2:$B$11,2,FALSE)</f>
        <v>Hypertension</v>
      </c>
      <c r="K134" s="10" t="str">
        <f>VLOOKUP(H134,Outcomes!$A$2:$B$4,2,FALSE)</f>
        <v>Deceased</v>
      </c>
      <c r="L134" s="9">
        <f t="shared" si="8"/>
        <v>4</v>
      </c>
      <c r="M134" s="10" t="str">
        <f>_xlfn.IFNA(IF(VLOOKUP(Patients!A134,Labs!$B$2:$D$201,3,FALSE)&gt;120,"High","Normal"),"Not Applicable")</f>
        <v>Not Applicable</v>
      </c>
      <c r="N134" s="12" t="str">
        <f t="shared" si="9"/>
        <v>High Risk</v>
      </c>
    </row>
    <row r="135" spans="1:14" x14ac:dyDescent="0.2">
      <c r="A135" s="4">
        <v>134</v>
      </c>
      <c r="B135" s="10" t="s">
        <v>144</v>
      </c>
      <c r="C135" s="4">
        <v>46</v>
      </c>
      <c r="D135" s="10" t="s">
        <v>10</v>
      </c>
      <c r="E135" s="9">
        <v>10</v>
      </c>
      <c r="F135" s="5">
        <v>45715</v>
      </c>
      <c r="G135" s="5">
        <v>45722</v>
      </c>
      <c r="H135" s="4">
        <v>2</v>
      </c>
      <c r="I135" s="4">
        <v>5495</v>
      </c>
      <c r="J135" s="10" t="str">
        <f>VLOOKUP(E135,Diagnosis!$A$2:$B$11,2,FALSE)</f>
        <v>Liver Disease</v>
      </c>
      <c r="K135" s="10" t="str">
        <f>VLOOKUP(H135,Outcomes!$A$2:$B$4,2,FALSE)</f>
        <v>Complicated</v>
      </c>
      <c r="L135" s="9">
        <f t="shared" si="8"/>
        <v>7</v>
      </c>
      <c r="M135" s="10" t="str">
        <f>_xlfn.IFNA(IF(VLOOKUP(Patients!A135,Labs!$B$2:$D$201,3,FALSE)&gt;120,"High","Normal"),"Not Applicable")</f>
        <v>High</v>
      </c>
      <c r="N135" s="12" t="str">
        <f t="shared" si="9"/>
        <v>Low Risk</v>
      </c>
    </row>
    <row r="136" spans="1:14" x14ac:dyDescent="0.2">
      <c r="A136" s="4">
        <v>135</v>
      </c>
      <c r="B136" s="10" t="s">
        <v>145</v>
      </c>
      <c r="C136" s="4">
        <v>37</v>
      </c>
      <c r="D136" s="10" t="s">
        <v>14</v>
      </c>
      <c r="E136" s="9">
        <v>10</v>
      </c>
      <c r="F136" s="5">
        <v>45701</v>
      </c>
      <c r="G136" s="5">
        <v>45760</v>
      </c>
      <c r="H136" s="4">
        <v>2</v>
      </c>
      <c r="I136" s="4">
        <v>9186</v>
      </c>
      <c r="J136" s="10" t="str">
        <f>VLOOKUP(E136,Diagnosis!$A$2:$B$11,2,FALSE)</f>
        <v>Liver Disease</v>
      </c>
      <c r="K136" s="10" t="str">
        <f>VLOOKUP(H136,Outcomes!$A$2:$B$4,2,FALSE)</f>
        <v>Complicated</v>
      </c>
      <c r="L136" s="9">
        <f t="shared" si="8"/>
        <v>59</v>
      </c>
      <c r="M136" s="10" t="str">
        <f>_xlfn.IFNA(IF(VLOOKUP(Patients!A136,Labs!$B$2:$D$201,3,FALSE)&gt;120,"High","Normal"),"Not Applicable")</f>
        <v>High</v>
      </c>
      <c r="N136" s="12" t="str">
        <f t="shared" si="9"/>
        <v>Low Risk</v>
      </c>
    </row>
    <row r="137" spans="1:14" x14ac:dyDescent="0.2">
      <c r="A137" s="4">
        <v>136</v>
      </c>
      <c r="B137" s="10" t="s">
        <v>146</v>
      </c>
      <c r="C137" s="4">
        <v>64</v>
      </c>
      <c r="D137" s="10" t="s">
        <v>14</v>
      </c>
      <c r="E137" s="9">
        <v>1</v>
      </c>
      <c r="F137" s="5">
        <v>45830</v>
      </c>
      <c r="G137" s="5">
        <v>45835</v>
      </c>
      <c r="H137" s="4">
        <v>1</v>
      </c>
      <c r="I137" s="4">
        <v>4065</v>
      </c>
      <c r="J137" s="10" t="str">
        <f>VLOOKUP(E137,Diagnosis!$A$2:$B$11,2,FALSE)</f>
        <v>Hypertension</v>
      </c>
      <c r="K137" s="10" t="str">
        <f>VLOOKUP(H137,Outcomes!$A$2:$B$4,2,FALSE)</f>
        <v>Recovered</v>
      </c>
      <c r="L137" s="9">
        <f t="shared" si="8"/>
        <v>5</v>
      </c>
      <c r="M137" s="10" t="str">
        <f>_xlfn.IFNA(IF(VLOOKUP(Patients!A137,Labs!$B$2:$D$201,3,FALSE)&gt;120,"High","Normal"),"Not Applicable")</f>
        <v>Not Applicable</v>
      </c>
      <c r="N137" s="12" t="str">
        <f t="shared" si="9"/>
        <v>Low Risk</v>
      </c>
    </row>
    <row r="138" spans="1:14" x14ac:dyDescent="0.2">
      <c r="A138" s="4">
        <v>137</v>
      </c>
      <c r="B138" s="10" t="s">
        <v>147</v>
      </c>
      <c r="C138" s="4">
        <v>64</v>
      </c>
      <c r="D138" s="10" t="s">
        <v>10</v>
      </c>
      <c r="E138" s="9">
        <v>2</v>
      </c>
      <c r="F138" s="5">
        <v>45817</v>
      </c>
      <c r="G138" s="5">
        <v>45819</v>
      </c>
      <c r="H138" s="4">
        <v>3</v>
      </c>
      <c r="I138" s="4">
        <v>2768</v>
      </c>
      <c r="J138" s="10" t="str">
        <f>VLOOKUP(E138,Diagnosis!$A$2:$B$11,2,FALSE)</f>
        <v>Diabetes</v>
      </c>
      <c r="K138" s="10" t="str">
        <f>VLOOKUP(H138,Outcomes!$A$2:$B$4,2,FALSE)</f>
        <v>Deceased</v>
      </c>
      <c r="L138" s="9">
        <f t="shared" si="8"/>
        <v>2</v>
      </c>
      <c r="M138" s="10" t="str">
        <f>_xlfn.IFNA(IF(VLOOKUP(Patients!A138,Labs!$B$2:$D$201,3,FALSE)&gt;120,"High","Normal"),"Not Applicable")</f>
        <v>Normal</v>
      </c>
      <c r="N138" s="12" t="str">
        <f t="shared" si="9"/>
        <v>Low Risk</v>
      </c>
    </row>
    <row r="139" spans="1:14" x14ac:dyDescent="0.2">
      <c r="A139" s="4">
        <v>138</v>
      </c>
      <c r="B139" s="10" t="s">
        <v>148</v>
      </c>
      <c r="C139" s="4">
        <v>62</v>
      </c>
      <c r="D139" s="10" t="s">
        <v>14</v>
      </c>
      <c r="E139" s="9">
        <v>6</v>
      </c>
      <c r="F139" s="5">
        <v>45830</v>
      </c>
      <c r="G139" s="5">
        <v>45840</v>
      </c>
      <c r="H139" s="4">
        <v>3</v>
      </c>
      <c r="I139" s="4">
        <v>8733</v>
      </c>
      <c r="J139" s="10" t="str">
        <f>VLOOKUP(E139,Diagnosis!$A$2:$B$11,2,FALSE)</f>
        <v>COPD</v>
      </c>
      <c r="K139" s="10" t="str">
        <f>VLOOKUP(H139,Outcomes!$A$2:$B$4,2,FALSE)</f>
        <v>Deceased</v>
      </c>
      <c r="L139" s="9">
        <f t="shared" si="8"/>
        <v>10</v>
      </c>
      <c r="M139" s="10" t="str">
        <f>_xlfn.IFNA(IF(VLOOKUP(Patients!A139,Labs!$B$2:$D$201,3,FALSE)&gt;120,"High","Normal"),"Not Applicable")</f>
        <v>Normal</v>
      </c>
      <c r="N139" s="12" t="str">
        <f t="shared" si="9"/>
        <v>Low Risk</v>
      </c>
    </row>
    <row r="140" spans="1:14" x14ac:dyDescent="0.2">
      <c r="A140" s="4">
        <v>139</v>
      </c>
      <c r="B140" s="10" t="s">
        <v>149</v>
      </c>
      <c r="C140" s="4">
        <v>88</v>
      </c>
      <c r="D140" s="10" t="s">
        <v>14</v>
      </c>
      <c r="E140" s="9">
        <v>9</v>
      </c>
      <c r="F140" s="5">
        <v>45718</v>
      </c>
      <c r="G140" s="5">
        <v>45727</v>
      </c>
      <c r="H140" s="4">
        <v>3</v>
      </c>
      <c r="I140" s="4">
        <v>7490</v>
      </c>
      <c r="J140" s="10" t="str">
        <f>VLOOKUP(E140,Diagnosis!$A$2:$B$11,2,FALSE)</f>
        <v>Kidney Disease</v>
      </c>
      <c r="K140" s="10" t="str">
        <f>VLOOKUP(H140,Outcomes!$A$2:$B$4,2,FALSE)</f>
        <v>Deceased</v>
      </c>
      <c r="L140" s="9">
        <f t="shared" si="8"/>
        <v>9</v>
      </c>
      <c r="M140" s="10" t="str">
        <f>_xlfn.IFNA(IF(VLOOKUP(Patients!A140,Labs!$B$2:$D$201,3,FALSE)&gt;120,"High","Normal"),"Not Applicable")</f>
        <v>Not Applicable</v>
      </c>
      <c r="N140" s="12" t="str">
        <f t="shared" si="9"/>
        <v>High Risk</v>
      </c>
    </row>
    <row r="141" spans="1:14" x14ac:dyDescent="0.2">
      <c r="A141" s="4">
        <v>140</v>
      </c>
      <c r="B141" s="10" t="s">
        <v>150</v>
      </c>
      <c r="C141" s="4">
        <v>34</v>
      </c>
      <c r="D141" s="10" t="s">
        <v>10</v>
      </c>
      <c r="E141" s="9">
        <v>8</v>
      </c>
      <c r="F141" s="5">
        <v>45704</v>
      </c>
      <c r="G141" s="5">
        <v>45747</v>
      </c>
      <c r="H141" s="4">
        <v>2</v>
      </c>
      <c r="I141" s="4">
        <v>9342</v>
      </c>
      <c r="J141" s="10" t="str">
        <f>VLOOKUP(E141,Diagnosis!$A$2:$B$11,2,FALSE)</f>
        <v>Arthritis</v>
      </c>
      <c r="K141" s="10" t="str">
        <f>VLOOKUP(H141,Outcomes!$A$2:$B$4,2,FALSE)</f>
        <v>Complicated</v>
      </c>
      <c r="L141" s="9">
        <f t="shared" si="8"/>
        <v>43</v>
      </c>
      <c r="M141" s="10" t="str">
        <f>_xlfn.IFNA(IF(VLOOKUP(Patients!A141,Labs!$B$2:$D$201,3,FALSE)&gt;120,"High","Normal"),"Not Applicable")</f>
        <v>High</v>
      </c>
      <c r="N141" s="12" t="str">
        <f t="shared" si="9"/>
        <v>Low Risk</v>
      </c>
    </row>
    <row r="142" spans="1:14" x14ac:dyDescent="0.2">
      <c r="A142" s="4">
        <v>141</v>
      </c>
      <c r="B142" s="10" t="s">
        <v>151</v>
      </c>
      <c r="C142" s="4">
        <v>71</v>
      </c>
      <c r="D142" s="10" t="s">
        <v>10</v>
      </c>
      <c r="E142" s="9">
        <v>5</v>
      </c>
      <c r="F142" s="5">
        <v>45806</v>
      </c>
      <c r="G142" s="5">
        <v>45809</v>
      </c>
      <c r="H142" s="4">
        <v>2</v>
      </c>
      <c r="I142" s="4">
        <v>5057</v>
      </c>
      <c r="J142" s="10" t="str">
        <f>VLOOKUP(E142,Diagnosis!$A$2:$B$11,2,FALSE)</f>
        <v>Stroke</v>
      </c>
      <c r="K142" s="10" t="str">
        <f>VLOOKUP(H142,Outcomes!$A$2:$B$4,2,FALSE)</f>
        <v>Complicated</v>
      </c>
      <c r="L142" s="9">
        <f t="shared" si="8"/>
        <v>3</v>
      </c>
      <c r="M142" s="10" t="str">
        <f>_xlfn.IFNA(IF(VLOOKUP(Patients!A142,Labs!$B$2:$D$201,3,FALSE)&gt;120,"High","Normal"),"Not Applicable")</f>
        <v>Not Applicable</v>
      </c>
      <c r="N142" s="12" t="str">
        <f t="shared" si="9"/>
        <v>High Risk</v>
      </c>
    </row>
    <row r="143" spans="1:14" x14ac:dyDescent="0.2">
      <c r="A143" s="4">
        <v>142</v>
      </c>
      <c r="B143" s="10" t="s">
        <v>152</v>
      </c>
      <c r="C143" s="4">
        <v>68</v>
      </c>
      <c r="D143" s="10" t="s">
        <v>14</v>
      </c>
      <c r="E143" s="9">
        <v>1</v>
      </c>
      <c r="F143" s="5">
        <v>45737</v>
      </c>
      <c r="G143" s="5">
        <v>45746</v>
      </c>
      <c r="H143" s="4">
        <v>3</v>
      </c>
      <c r="I143" s="4">
        <v>6289</v>
      </c>
      <c r="J143" s="10" t="str">
        <f>VLOOKUP(E143,Diagnosis!$A$2:$B$11,2,FALSE)</f>
        <v>Hypertension</v>
      </c>
      <c r="K143" s="10" t="str">
        <f>VLOOKUP(H143,Outcomes!$A$2:$B$4,2,FALSE)</f>
        <v>Deceased</v>
      </c>
      <c r="L143" s="9">
        <f t="shared" si="8"/>
        <v>9</v>
      </c>
      <c r="M143" s="10" t="str">
        <f>_xlfn.IFNA(IF(VLOOKUP(Patients!A143,Labs!$B$2:$D$201,3,FALSE)&gt;120,"High","Normal"),"Not Applicable")</f>
        <v>Normal</v>
      </c>
      <c r="N143" s="12" t="str">
        <f t="shared" si="9"/>
        <v>High Risk</v>
      </c>
    </row>
    <row r="144" spans="1:14" x14ac:dyDescent="0.2">
      <c r="A144" s="4">
        <v>143</v>
      </c>
      <c r="B144" s="10" t="s">
        <v>153</v>
      </c>
      <c r="C144" s="4">
        <v>87</v>
      </c>
      <c r="D144" s="10" t="s">
        <v>10</v>
      </c>
      <c r="E144" s="9">
        <v>7</v>
      </c>
      <c r="F144" s="5">
        <v>45775</v>
      </c>
      <c r="G144" s="5">
        <v>45779</v>
      </c>
      <c r="H144" s="4">
        <v>3</v>
      </c>
      <c r="I144" s="4">
        <v>8645</v>
      </c>
      <c r="J144" s="10" t="str">
        <f>VLOOKUP(E144,Diagnosis!$A$2:$B$11,2,FALSE)</f>
        <v>Cancer</v>
      </c>
      <c r="K144" s="10" t="str">
        <f>VLOOKUP(H144,Outcomes!$A$2:$B$4,2,FALSE)</f>
        <v>Deceased</v>
      </c>
      <c r="L144" s="9">
        <f t="shared" si="8"/>
        <v>4</v>
      </c>
      <c r="M144" s="10" t="str">
        <f>_xlfn.IFNA(IF(VLOOKUP(Patients!A144,Labs!$B$2:$D$201,3,FALSE)&gt;120,"High","Normal"),"Not Applicable")</f>
        <v>High</v>
      </c>
      <c r="N144" s="12" t="str">
        <f t="shared" si="9"/>
        <v>High Risk</v>
      </c>
    </row>
    <row r="145" spans="1:14" x14ac:dyDescent="0.2">
      <c r="A145" s="4">
        <v>144</v>
      </c>
      <c r="B145" s="10" t="s">
        <v>154</v>
      </c>
      <c r="C145" s="4">
        <v>70</v>
      </c>
      <c r="D145" s="10" t="s">
        <v>10</v>
      </c>
      <c r="E145" s="9">
        <v>5</v>
      </c>
      <c r="F145" s="5">
        <v>45821</v>
      </c>
      <c r="G145" s="5">
        <v>45824</v>
      </c>
      <c r="H145" s="4">
        <v>3</v>
      </c>
      <c r="I145" s="4">
        <v>7083</v>
      </c>
      <c r="J145" s="10" t="str">
        <f>VLOOKUP(E145,Diagnosis!$A$2:$B$11,2,FALSE)</f>
        <v>Stroke</v>
      </c>
      <c r="K145" s="10" t="str">
        <f>VLOOKUP(H145,Outcomes!$A$2:$B$4,2,FALSE)</f>
        <v>Deceased</v>
      </c>
      <c r="L145" s="9">
        <f t="shared" si="8"/>
        <v>3</v>
      </c>
      <c r="M145" s="10" t="str">
        <f>_xlfn.IFNA(IF(VLOOKUP(Patients!A145,Labs!$B$2:$D$201,3,FALSE)&gt;120,"High","Normal"),"Not Applicable")</f>
        <v>Not Applicable</v>
      </c>
      <c r="N145" s="12" t="str">
        <f t="shared" si="9"/>
        <v>High Risk</v>
      </c>
    </row>
    <row r="146" spans="1:14" x14ac:dyDescent="0.2">
      <c r="A146" s="4">
        <v>145</v>
      </c>
      <c r="B146" s="10" t="s">
        <v>155</v>
      </c>
      <c r="C146" s="4">
        <v>57</v>
      </c>
      <c r="D146" s="10" t="s">
        <v>14</v>
      </c>
      <c r="E146" s="9">
        <v>6</v>
      </c>
      <c r="F146" s="5">
        <v>45804</v>
      </c>
      <c r="G146" s="5">
        <v>45812</v>
      </c>
      <c r="H146" s="4">
        <v>2</v>
      </c>
      <c r="I146" s="4">
        <v>7232</v>
      </c>
      <c r="J146" s="10" t="str">
        <f>VLOOKUP(E146,Diagnosis!$A$2:$B$11,2,FALSE)</f>
        <v>COPD</v>
      </c>
      <c r="K146" s="10" t="str">
        <f>VLOOKUP(H146,Outcomes!$A$2:$B$4,2,FALSE)</f>
        <v>Complicated</v>
      </c>
      <c r="L146" s="9">
        <f t="shared" si="8"/>
        <v>8</v>
      </c>
      <c r="M146" s="10" t="str">
        <f>_xlfn.IFNA(IF(VLOOKUP(Patients!A146,Labs!$B$2:$D$201,3,FALSE)&gt;120,"High","Normal"),"Not Applicable")</f>
        <v>High</v>
      </c>
      <c r="N146" s="12" t="str">
        <f t="shared" si="9"/>
        <v>Low Risk</v>
      </c>
    </row>
    <row r="147" spans="1:14" x14ac:dyDescent="0.2">
      <c r="A147" s="4">
        <v>146</v>
      </c>
      <c r="B147" s="10" t="s">
        <v>156</v>
      </c>
      <c r="C147" s="4">
        <v>36</v>
      </c>
      <c r="D147" s="10" t="s">
        <v>10</v>
      </c>
      <c r="E147" s="9">
        <v>7</v>
      </c>
      <c r="F147" s="5">
        <v>45677</v>
      </c>
      <c r="G147" s="5">
        <v>45765</v>
      </c>
      <c r="H147" s="4">
        <v>3</v>
      </c>
      <c r="I147" s="4">
        <v>4161</v>
      </c>
      <c r="J147" s="10" t="str">
        <f>VLOOKUP(E147,Diagnosis!$A$2:$B$11,2,FALSE)</f>
        <v>Cancer</v>
      </c>
      <c r="K147" s="10" t="str">
        <f>VLOOKUP(H147,Outcomes!$A$2:$B$4,2,FALSE)</f>
        <v>Deceased</v>
      </c>
      <c r="L147" s="9">
        <f t="shared" si="8"/>
        <v>88</v>
      </c>
      <c r="M147" s="10" t="str">
        <f>_xlfn.IFNA(IF(VLOOKUP(Patients!A147,Labs!$B$2:$D$201,3,FALSE)&gt;120,"High","Normal"),"Not Applicable")</f>
        <v>High</v>
      </c>
      <c r="N147" s="12" t="str">
        <f t="shared" si="9"/>
        <v>Low Risk</v>
      </c>
    </row>
    <row r="148" spans="1:14" x14ac:dyDescent="0.2">
      <c r="A148" s="4">
        <v>147</v>
      </c>
      <c r="B148" s="10" t="s">
        <v>157</v>
      </c>
      <c r="C148" s="4">
        <v>38</v>
      </c>
      <c r="D148" s="10" t="s">
        <v>10</v>
      </c>
      <c r="E148" s="9">
        <v>3</v>
      </c>
      <c r="F148" s="5">
        <v>45803</v>
      </c>
      <c r="G148" s="5">
        <v>45846</v>
      </c>
      <c r="H148" s="4">
        <v>3</v>
      </c>
      <c r="I148" s="4">
        <v>5293</v>
      </c>
      <c r="J148" s="10" t="str">
        <f>VLOOKUP(E148,Diagnosis!$A$2:$B$11,2,FALSE)</f>
        <v>Heart Disease</v>
      </c>
      <c r="K148" s="10" t="str">
        <f>VLOOKUP(H148,Outcomes!$A$2:$B$4,2,FALSE)</f>
        <v>Deceased</v>
      </c>
      <c r="L148" s="9">
        <f t="shared" si="8"/>
        <v>43</v>
      </c>
      <c r="M148" s="10" t="str">
        <f>_xlfn.IFNA(IF(VLOOKUP(Patients!A148,Labs!$B$2:$D$201,3,FALSE)&gt;120,"High","Normal"),"Not Applicable")</f>
        <v>Normal</v>
      </c>
      <c r="N148" s="12" t="str">
        <f t="shared" si="9"/>
        <v>Low Risk</v>
      </c>
    </row>
    <row r="149" spans="1:14" x14ac:dyDescent="0.2">
      <c r="A149" s="4">
        <v>148</v>
      </c>
      <c r="B149" s="10" t="s">
        <v>158</v>
      </c>
      <c r="C149" s="4">
        <v>37</v>
      </c>
      <c r="D149" s="10" t="s">
        <v>14</v>
      </c>
      <c r="E149" s="9">
        <v>10</v>
      </c>
      <c r="F149" s="5">
        <v>45704</v>
      </c>
      <c r="G149" s="5">
        <v>45713</v>
      </c>
      <c r="H149" s="4">
        <v>1</v>
      </c>
      <c r="I149" s="4">
        <v>7797</v>
      </c>
      <c r="J149" s="10" t="str">
        <f>VLOOKUP(E149,Diagnosis!$A$2:$B$11,2,FALSE)</f>
        <v>Liver Disease</v>
      </c>
      <c r="K149" s="10" t="str">
        <f>VLOOKUP(H149,Outcomes!$A$2:$B$4,2,FALSE)</f>
        <v>Recovered</v>
      </c>
      <c r="L149" s="9">
        <f t="shared" si="8"/>
        <v>9</v>
      </c>
      <c r="M149" s="10" t="str">
        <f>_xlfn.IFNA(IF(VLOOKUP(Patients!A149,Labs!$B$2:$D$201,3,FALSE)&gt;120,"High","Normal"),"Not Applicable")</f>
        <v>High</v>
      </c>
      <c r="N149" s="12" t="str">
        <f t="shared" si="9"/>
        <v>Low Risk</v>
      </c>
    </row>
    <row r="150" spans="1:14" x14ac:dyDescent="0.2">
      <c r="A150" s="4">
        <v>149</v>
      </c>
      <c r="B150" s="10" t="s">
        <v>159</v>
      </c>
      <c r="C150" s="4">
        <v>41</v>
      </c>
      <c r="D150" s="10" t="s">
        <v>14</v>
      </c>
      <c r="E150" s="9">
        <v>3</v>
      </c>
      <c r="F150" s="5">
        <v>45706</v>
      </c>
      <c r="G150" s="5">
        <v>45793</v>
      </c>
      <c r="H150" s="4">
        <v>1</v>
      </c>
      <c r="I150" s="4">
        <v>2946</v>
      </c>
      <c r="J150" s="10" t="str">
        <f>VLOOKUP(E150,Diagnosis!$A$2:$B$11,2,FALSE)</f>
        <v>Heart Disease</v>
      </c>
      <c r="K150" s="10" t="str">
        <f>VLOOKUP(H150,Outcomes!$A$2:$B$4,2,FALSE)</f>
        <v>Recovered</v>
      </c>
      <c r="L150" s="9">
        <f t="shared" si="8"/>
        <v>87</v>
      </c>
      <c r="M150" s="10" t="str">
        <f>_xlfn.IFNA(IF(VLOOKUP(Patients!A150,Labs!$B$2:$D$201,3,FALSE)&gt;120,"High","Normal"),"Not Applicable")</f>
        <v>Normal</v>
      </c>
      <c r="N150" s="12" t="str">
        <f t="shared" si="9"/>
        <v>Low Risk</v>
      </c>
    </row>
    <row r="151" spans="1:14" x14ac:dyDescent="0.2">
      <c r="A151" s="4">
        <v>150</v>
      </c>
      <c r="B151" s="10" t="s">
        <v>160</v>
      </c>
      <c r="C151" s="4">
        <v>63</v>
      </c>
      <c r="D151" s="10" t="s">
        <v>10</v>
      </c>
      <c r="E151" s="9">
        <v>5</v>
      </c>
      <c r="F151" s="5">
        <v>45671</v>
      </c>
      <c r="G151" s="5">
        <v>45722</v>
      </c>
      <c r="H151" s="4">
        <v>2</v>
      </c>
      <c r="I151" s="4">
        <v>6926</v>
      </c>
      <c r="J151" s="10" t="str">
        <f>VLOOKUP(E151,Diagnosis!$A$2:$B$11,2,FALSE)</f>
        <v>Stroke</v>
      </c>
      <c r="K151" s="10" t="str">
        <f>VLOOKUP(H151,Outcomes!$A$2:$B$4,2,FALSE)</f>
        <v>Complicated</v>
      </c>
      <c r="L151" s="9">
        <f t="shared" si="8"/>
        <v>51</v>
      </c>
      <c r="M151" s="10" t="str">
        <f>_xlfn.IFNA(IF(VLOOKUP(Patients!A151,Labs!$B$2:$D$201,3,FALSE)&gt;120,"High","Normal"),"Not Applicable")</f>
        <v>High</v>
      </c>
      <c r="N151" s="12" t="str">
        <f t="shared" si="9"/>
        <v>Low Risk</v>
      </c>
    </row>
    <row r="152" spans="1:14" x14ac:dyDescent="0.2">
      <c r="A152" s="4">
        <v>151</v>
      </c>
      <c r="B152" s="10" t="s">
        <v>161</v>
      </c>
      <c r="C152" s="4">
        <v>62</v>
      </c>
      <c r="D152" s="10" t="s">
        <v>10</v>
      </c>
      <c r="E152" s="9">
        <v>6</v>
      </c>
      <c r="F152" s="5">
        <v>45800</v>
      </c>
      <c r="G152" s="5">
        <v>45807</v>
      </c>
      <c r="H152" s="4">
        <v>3</v>
      </c>
      <c r="I152" s="4">
        <v>9811</v>
      </c>
      <c r="J152" s="10" t="str">
        <f>VLOOKUP(E152,Diagnosis!$A$2:$B$11,2,FALSE)</f>
        <v>COPD</v>
      </c>
      <c r="K152" s="10" t="str">
        <f>VLOOKUP(H152,Outcomes!$A$2:$B$4,2,FALSE)</f>
        <v>Deceased</v>
      </c>
      <c r="L152" s="9">
        <f t="shared" si="8"/>
        <v>7</v>
      </c>
      <c r="M152" s="10" t="str">
        <f>_xlfn.IFNA(IF(VLOOKUP(Patients!A152,Labs!$B$2:$D$201,3,FALSE)&gt;120,"High","Normal"),"Not Applicable")</f>
        <v>High</v>
      </c>
      <c r="N152" s="12" t="str">
        <f t="shared" si="9"/>
        <v>Low Risk</v>
      </c>
    </row>
    <row r="153" spans="1:14" x14ac:dyDescent="0.2">
      <c r="A153" s="4">
        <v>152</v>
      </c>
      <c r="B153" s="10" t="s">
        <v>162</v>
      </c>
      <c r="C153" s="4">
        <v>77</v>
      </c>
      <c r="D153" s="10" t="s">
        <v>14</v>
      </c>
      <c r="E153" s="9">
        <v>9</v>
      </c>
      <c r="F153" s="5">
        <v>45816</v>
      </c>
      <c r="G153" s="5">
        <v>45821</v>
      </c>
      <c r="H153" s="4">
        <v>3</v>
      </c>
      <c r="I153" s="4">
        <v>8016</v>
      </c>
      <c r="J153" s="10" t="str">
        <f>VLOOKUP(E153,Diagnosis!$A$2:$B$11,2,FALSE)</f>
        <v>Kidney Disease</v>
      </c>
      <c r="K153" s="10" t="str">
        <f>VLOOKUP(H153,Outcomes!$A$2:$B$4,2,FALSE)</f>
        <v>Deceased</v>
      </c>
      <c r="L153" s="9">
        <f t="shared" si="8"/>
        <v>5</v>
      </c>
      <c r="M153" s="10" t="str">
        <f>_xlfn.IFNA(IF(VLOOKUP(Patients!A153,Labs!$B$2:$D$201,3,FALSE)&gt;120,"High","Normal"),"Not Applicable")</f>
        <v>Normal</v>
      </c>
      <c r="N153" s="12" t="str">
        <f t="shared" si="9"/>
        <v>High Risk</v>
      </c>
    </row>
    <row r="154" spans="1:14" x14ac:dyDescent="0.2">
      <c r="A154" s="4">
        <v>153</v>
      </c>
      <c r="B154" s="10" t="s">
        <v>163</v>
      </c>
      <c r="C154" s="4">
        <v>84</v>
      </c>
      <c r="D154" s="10" t="s">
        <v>14</v>
      </c>
      <c r="E154" s="9">
        <v>5</v>
      </c>
      <c r="F154" s="5">
        <v>45658</v>
      </c>
      <c r="G154" s="5">
        <v>45744</v>
      </c>
      <c r="H154" s="4">
        <v>1</v>
      </c>
      <c r="I154" s="4">
        <v>5335</v>
      </c>
      <c r="J154" s="10" t="str">
        <f>VLOOKUP(E154,Diagnosis!$A$2:$B$11,2,FALSE)</f>
        <v>Stroke</v>
      </c>
      <c r="K154" s="10" t="str">
        <f>VLOOKUP(H154,Outcomes!$A$2:$B$4,2,FALSE)</f>
        <v>Recovered</v>
      </c>
      <c r="L154" s="9">
        <f t="shared" si="8"/>
        <v>86</v>
      </c>
      <c r="M154" s="10" t="str">
        <f>_xlfn.IFNA(IF(VLOOKUP(Patients!A154,Labs!$B$2:$D$201,3,FALSE)&gt;120,"High","Normal"),"Not Applicable")</f>
        <v>High</v>
      </c>
      <c r="N154" s="12" t="str">
        <f t="shared" si="9"/>
        <v>Low Risk</v>
      </c>
    </row>
    <row r="155" spans="1:14" x14ac:dyDescent="0.2">
      <c r="A155" s="4">
        <v>154</v>
      </c>
      <c r="B155" s="10" t="s">
        <v>164</v>
      </c>
      <c r="C155" s="4">
        <v>52</v>
      </c>
      <c r="D155" s="10" t="s">
        <v>14</v>
      </c>
      <c r="E155" s="9">
        <v>1</v>
      </c>
      <c r="F155" s="5">
        <v>45774</v>
      </c>
      <c r="G155" s="5">
        <v>45796</v>
      </c>
      <c r="H155" s="4">
        <v>2</v>
      </c>
      <c r="I155" s="4">
        <v>9068</v>
      </c>
      <c r="J155" s="10" t="str">
        <f>VLOOKUP(E155,Diagnosis!$A$2:$B$11,2,FALSE)</f>
        <v>Hypertension</v>
      </c>
      <c r="K155" s="10" t="str">
        <f>VLOOKUP(H155,Outcomes!$A$2:$B$4,2,FALSE)</f>
        <v>Complicated</v>
      </c>
      <c r="L155" s="9">
        <f t="shared" si="8"/>
        <v>22</v>
      </c>
      <c r="M155" s="10" t="str">
        <f>_xlfn.IFNA(IF(VLOOKUP(Patients!A155,Labs!$B$2:$D$201,3,FALSE)&gt;120,"High","Normal"),"Not Applicable")</f>
        <v>Normal</v>
      </c>
      <c r="N155" s="12" t="str">
        <f t="shared" si="9"/>
        <v>Low Risk</v>
      </c>
    </row>
    <row r="156" spans="1:14" x14ac:dyDescent="0.2">
      <c r="A156" s="4">
        <v>155</v>
      </c>
      <c r="B156" s="10" t="s">
        <v>165</v>
      </c>
      <c r="C156" s="4">
        <v>53</v>
      </c>
      <c r="D156" s="10" t="s">
        <v>14</v>
      </c>
      <c r="E156" s="9">
        <v>4</v>
      </c>
      <c r="F156" s="5">
        <v>45711</v>
      </c>
      <c r="G156" s="5">
        <v>45775</v>
      </c>
      <c r="H156" s="4">
        <v>1</v>
      </c>
      <c r="I156" s="4">
        <v>6150</v>
      </c>
      <c r="J156" s="10" t="str">
        <f>VLOOKUP(E156,Diagnosis!$A$2:$B$11,2,FALSE)</f>
        <v>Asthma</v>
      </c>
      <c r="K156" s="10" t="str">
        <f>VLOOKUP(H156,Outcomes!$A$2:$B$4,2,FALSE)</f>
        <v>Recovered</v>
      </c>
      <c r="L156" s="9">
        <f t="shared" si="8"/>
        <v>64</v>
      </c>
      <c r="M156" s="10" t="str">
        <f>_xlfn.IFNA(IF(VLOOKUP(Patients!A156,Labs!$B$2:$D$201,3,FALSE)&gt;120,"High","Normal"),"Not Applicable")</f>
        <v>Not Applicable</v>
      </c>
      <c r="N156" s="12" t="str">
        <f t="shared" si="9"/>
        <v>Low Risk</v>
      </c>
    </row>
    <row r="157" spans="1:14" x14ac:dyDescent="0.2">
      <c r="A157" s="4">
        <v>156</v>
      </c>
      <c r="B157" s="10" t="s">
        <v>166</v>
      </c>
      <c r="C157" s="4">
        <v>66</v>
      </c>
      <c r="D157" s="10" t="s">
        <v>10</v>
      </c>
      <c r="E157" s="9">
        <v>5</v>
      </c>
      <c r="F157" s="5">
        <v>45775</v>
      </c>
      <c r="G157" s="5">
        <v>45820</v>
      </c>
      <c r="H157" s="4">
        <v>1</v>
      </c>
      <c r="I157" s="4">
        <v>9810</v>
      </c>
      <c r="J157" s="10" t="str">
        <f>VLOOKUP(E157,Diagnosis!$A$2:$B$11,2,FALSE)</f>
        <v>Stroke</v>
      </c>
      <c r="K157" s="10" t="str">
        <f>VLOOKUP(H157,Outcomes!$A$2:$B$4,2,FALSE)</f>
        <v>Recovered</v>
      </c>
      <c r="L157" s="9">
        <f t="shared" si="8"/>
        <v>45</v>
      </c>
      <c r="M157" s="10" t="str">
        <f>_xlfn.IFNA(IF(VLOOKUP(Patients!A157,Labs!$B$2:$D$201,3,FALSE)&gt;120,"High","Normal"),"Not Applicable")</f>
        <v>Not Applicable</v>
      </c>
      <c r="N157" s="12" t="str">
        <f t="shared" si="9"/>
        <v>Low Risk</v>
      </c>
    </row>
    <row r="158" spans="1:14" x14ac:dyDescent="0.2">
      <c r="A158" s="4">
        <v>157</v>
      </c>
      <c r="B158" s="10" t="s">
        <v>167</v>
      </c>
      <c r="C158" s="4">
        <v>64</v>
      </c>
      <c r="D158" s="10" t="s">
        <v>14</v>
      </c>
      <c r="E158" s="9">
        <v>10</v>
      </c>
      <c r="F158" s="5">
        <v>45660</v>
      </c>
      <c r="G158" s="5">
        <v>45680</v>
      </c>
      <c r="H158" s="4">
        <v>1</v>
      </c>
      <c r="I158" s="4">
        <v>6895</v>
      </c>
      <c r="J158" s="10" t="str">
        <f>VLOOKUP(E158,Diagnosis!$A$2:$B$11,2,FALSE)</f>
        <v>Liver Disease</v>
      </c>
      <c r="K158" s="10" t="str">
        <f>VLOOKUP(H158,Outcomes!$A$2:$B$4,2,FALSE)</f>
        <v>Recovered</v>
      </c>
      <c r="L158" s="9">
        <f t="shared" si="8"/>
        <v>20</v>
      </c>
      <c r="M158" s="10" t="str">
        <f>_xlfn.IFNA(IF(VLOOKUP(Patients!A158,Labs!$B$2:$D$201,3,FALSE)&gt;120,"High","Normal"),"Not Applicable")</f>
        <v>Not Applicable</v>
      </c>
      <c r="N158" s="12" t="str">
        <f t="shared" si="9"/>
        <v>Low Risk</v>
      </c>
    </row>
    <row r="159" spans="1:14" x14ac:dyDescent="0.2">
      <c r="A159" s="4">
        <v>158</v>
      </c>
      <c r="B159" s="10" t="s">
        <v>168</v>
      </c>
      <c r="C159" s="4">
        <v>73</v>
      </c>
      <c r="D159" s="10" t="s">
        <v>14</v>
      </c>
      <c r="E159" s="9">
        <v>10</v>
      </c>
      <c r="F159" s="5">
        <v>45801</v>
      </c>
      <c r="G159" s="5">
        <v>45810</v>
      </c>
      <c r="H159" s="4">
        <v>1</v>
      </c>
      <c r="I159" s="4">
        <v>6873</v>
      </c>
      <c r="J159" s="10" t="str">
        <f>VLOOKUP(E159,Diagnosis!$A$2:$B$11,2,FALSE)</f>
        <v>Liver Disease</v>
      </c>
      <c r="K159" s="10" t="str">
        <f>VLOOKUP(H159,Outcomes!$A$2:$B$4,2,FALSE)</f>
        <v>Recovered</v>
      </c>
      <c r="L159" s="9">
        <f t="shared" si="8"/>
        <v>9</v>
      </c>
      <c r="M159" s="10" t="str">
        <f>_xlfn.IFNA(IF(VLOOKUP(Patients!A159,Labs!$B$2:$D$201,3,FALSE)&gt;120,"High","Normal"),"Not Applicable")</f>
        <v>High</v>
      </c>
      <c r="N159" s="12" t="str">
        <f t="shared" si="9"/>
        <v>Low Risk</v>
      </c>
    </row>
    <row r="160" spans="1:14" x14ac:dyDescent="0.2">
      <c r="A160" s="4">
        <v>159</v>
      </c>
      <c r="B160" s="10" t="s">
        <v>169</v>
      </c>
      <c r="C160" s="4">
        <v>69</v>
      </c>
      <c r="D160" s="10" t="s">
        <v>10</v>
      </c>
      <c r="E160" s="9">
        <v>5</v>
      </c>
      <c r="F160" s="5">
        <v>45669</v>
      </c>
      <c r="G160" s="5">
        <v>45781</v>
      </c>
      <c r="H160" s="4">
        <v>3</v>
      </c>
      <c r="I160" s="4">
        <v>3481</v>
      </c>
      <c r="J160" s="10" t="str">
        <f>VLOOKUP(E160,Diagnosis!$A$2:$B$11,2,FALSE)</f>
        <v>Stroke</v>
      </c>
      <c r="K160" s="10" t="str">
        <f>VLOOKUP(H160,Outcomes!$A$2:$B$4,2,FALSE)</f>
        <v>Deceased</v>
      </c>
      <c r="L160" s="9">
        <f t="shared" si="8"/>
        <v>112</v>
      </c>
      <c r="M160" s="10" t="str">
        <f>_xlfn.IFNA(IF(VLOOKUP(Patients!A160,Labs!$B$2:$D$201,3,FALSE)&gt;120,"High","Normal"),"Not Applicable")</f>
        <v>Not Applicable</v>
      </c>
      <c r="N160" s="12" t="str">
        <f t="shared" si="9"/>
        <v>High Risk</v>
      </c>
    </row>
    <row r="161" spans="1:14" x14ac:dyDescent="0.2">
      <c r="A161" s="4">
        <v>160</v>
      </c>
      <c r="B161" s="10" t="s">
        <v>170</v>
      </c>
      <c r="C161" s="4">
        <v>51</v>
      </c>
      <c r="D161" s="10" t="s">
        <v>14</v>
      </c>
      <c r="E161" s="9">
        <v>7</v>
      </c>
      <c r="F161" s="5">
        <v>45731</v>
      </c>
      <c r="G161" s="5">
        <v>45735</v>
      </c>
      <c r="H161" s="4">
        <v>3</v>
      </c>
      <c r="I161" s="4">
        <v>3901</v>
      </c>
      <c r="J161" s="10" t="str">
        <f>VLOOKUP(E161,Diagnosis!$A$2:$B$11,2,FALSE)</f>
        <v>Cancer</v>
      </c>
      <c r="K161" s="10" t="str">
        <f>VLOOKUP(H161,Outcomes!$A$2:$B$4,2,FALSE)</f>
        <v>Deceased</v>
      </c>
      <c r="L161" s="9">
        <f t="shared" si="8"/>
        <v>4</v>
      </c>
      <c r="M161" s="10" t="str">
        <f>_xlfn.IFNA(IF(VLOOKUP(Patients!A161,Labs!$B$2:$D$201,3,FALSE)&gt;120,"High","Normal"),"Not Applicable")</f>
        <v>Not Applicable</v>
      </c>
      <c r="N161" s="12" t="str">
        <f t="shared" si="9"/>
        <v>Low Risk</v>
      </c>
    </row>
    <row r="162" spans="1:14" x14ac:dyDescent="0.2">
      <c r="A162" s="4">
        <v>161</v>
      </c>
      <c r="B162" s="10" t="s">
        <v>171</v>
      </c>
      <c r="C162" s="4">
        <v>56</v>
      </c>
      <c r="D162" s="10" t="s">
        <v>10</v>
      </c>
      <c r="E162" s="9">
        <v>4</v>
      </c>
      <c r="F162" s="5">
        <v>45673</v>
      </c>
      <c r="G162" s="5">
        <v>45679</v>
      </c>
      <c r="H162" s="4">
        <v>1</v>
      </c>
      <c r="I162" s="4">
        <v>8305</v>
      </c>
      <c r="J162" s="10" t="str">
        <f>VLOOKUP(E162,Diagnosis!$A$2:$B$11,2,FALSE)</f>
        <v>Asthma</v>
      </c>
      <c r="K162" s="10" t="str">
        <f>VLOOKUP(H162,Outcomes!$A$2:$B$4,2,FALSE)</f>
        <v>Recovered</v>
      </c>
      <c r="L162" s="9">
        <f t="shared" ref="L162:L193" si="10">DATEDIF(F162,G162,"d")</f>
        <v>6</v>
      </c>
      <c r="M162" s="10" t="str">
        <f>_xlfn.IFNA(IF(VLOOKUP(Patients!A162,Labs!$B$2:$D$201,3,FALSE)&gt;120,"High","Normal"),"Not Applicable")</f>
        <v>High</v>
      </c>
      <c r="N162" s="12" t="str">
        <f t="shared" ref="N162:N193" si="11">IF(AND(C162&gt;65,H162&lt;&gt;1),"High Risk","Low Risk")</f>
        <v>Low Risk</v>
      </c>
    </row>
    <row r="163" spans="1:14" x14ac:dyDescent="0.2">
      <c r="A163" s="4">
        <v>162</v>
      </c>
      <c r="B163" s="10" t="s">
        <v>172</v>
      </c>
      <c r="C163" s="4">
        <v>64</v>
      </c>
      <c r="D163" s="10" t="s">
        <v>14</v>
      </c>
      <c r="E163" s="9">
        <v>1</v>
      </c>
      <c r="F163" s="5">
        <v>45759</v>
      </c>
      <c r="G163" s="5">
        <v>45777</v>
      </c>
      <c r="H163" s="4">
        <v>2</v>
      </c>
      <c r="I163" s="4">
        <v>5451</v>
      </c>
      <c r="J163" s="10" t="str">
        <f>VLOOKUP(E163,Diagnosis!$A$2:$B$11,2,FALSE)</f>
        <v>Hypertension</v>
      </c>
      <c r="K163" s="10" t="str">
        <f>VLOOKUP(H163,Outcomes!$A$2:$B$4,2,FALSE)</f>
        <v>Complicated</v>
      </c>
      <c r="L163" s="9">
        <f t="shared" si="10"/>
        <v>18</v>
      </c>
      <c r="M163" s="10" t="str">
        <f>_xlfn.IFNA(IF(VLOOKUP(Patients!A163,Labs!$B$2:$D$201,3,FALSE)&gt;120,"High","Normal"),"Not Applicable")</f>
        <v>Not Applicable</v>
      </c>
      <c r="N163" s="12" t="str">
        <f t="shared" si="11"/>
        <v>Low Risk</v>
      </c>
    </row>
    <row r="164" spans="1:14" x14ac:dyDescent="0.2">
      <c r="A164" s="4">
        <v>163</v>
      </c>
      <c r="B164" s="10" t="s">
        <v>173</v>
      </c>
      <c r="C164" s="4">
        <v>30</v>
      </c>
      <c r="D164" s="10" t="s">
        <v>14</v>
      </c>
      <c r="E164" s="9">
        <v>5</v>
      </c>
      <c r="F164" s="5">
        <v>45809</v>
      </c>
      <c r="G164" s="5">
        <v>45817</v>
      </c>
      <c r="H164" s="4">
        <v>2</v>
      </c>
      <c r="I164" s="4">
        <v>6064</v>
      </c>
      <c r="J164" s="10" t="str">
        <f>VLOOKUP(E164,Diagnosis!$A$2:$B$11,2,FALSE)</f>
        <v>Stroke</v>
      </c>
      <c r="K164" s="10" t="str">
        <f>VLOOKUP(H164,Outcomes!$A$2:$B$4,2,FALSE)</f>
        <v>Complicated</v>
      </c>
      <c r="L164" s="9">
        <f t="shared" si="10"/>
        <v>8</v>
      </c>
      <c r="M164" s="10" t="str">
        <f>_xlfn.IFNA(IF(VLOOKUP(Patients!A164,Labs!$B$2:$D$201,3,FALSE)&gt;120,"High","Normal"),"Not Applicable")</f>
        <v>Not Applicable</v>
      </c>
      <c r="N164" s="12" t="str">
        <f t="shared" si="11"/>
        <v>Low Risk</v>
      </c>
    </row>
    <row r="165" spans="1:14" x14ac:dyDescent="0.2">
      <c r="A165" s="4">
        <v>164</v>
      </c>
      <c r="B165" s="10" t="s">
        <v>174</v>
      </c>
      <c r="C165" s="4">
        <v>64</v>
      </c>
      <c r="D165" s="10" t="s">
        <v>14</v>
      </c>
      <c r="E165" s="9">
        <v>7</v>
      </c>
      <c r="F165" s="5">
        <v>45813</v>
      </c>
      <c r="G165" s="5">
        <v>45814</v>
      </c>
      <c r="H165" s="4">
        <v>2</v>
      </c>
      <c r="I165" s="4">
        <v>8230</v>
      </c>
      <c r="J165" s="10" t="str">
        <f>VLOOKUP(E165,Diagnosis!$A$2:$B$11,2,FALSE)</f>
        <v>Cancer</v>
      </c>
      <c r="K165" s="10" t="str">
        <f>VLOOKUP(H165,Outcomes!$A$2:$B$4,2,FALSE)</f>
        <v>Complicated</v>
      </c>
      <c r="L165" s="9">
        <f t="shared" si="10"/>
        <v>1</v>
      </c>
      <c r="M165" s="10" t="str">
        <f>_xlfn.IFNA(IF(VLOOKUP(Patients!A165,Labs!$B$2:$D$201,3,FALSE)&gt;120,"High","Normal"),"Not Applicable")</f>
        <v>High</v>
      </c>
      <c r="N165" s="12" t="str">
        <f t="shared" si="11"/>
        <v>Low Risk</v>
      </c>
    </row>
    <row r="166" spans="1:14" x14ac:dyDescent="0.2">
      <c r="A166" s="4">
        <v>165</v>
      </c>
      <c r="B166" s="10" t="s">
        <v>175</v>
      </c>
      <c r="C166" s="4">
        <v>66</v>
      </c>
      <c r="D166" s="10" t="s">
        <v>10</v>
      </c>
      <c r="E166" s="9">
        <v>10</v>
      </c>
      <c r="F166" s="5">
        <v>45774</v>
      </c>
      <c r="G166" s="5">
        <v>45778</v>
      </c>
      <c r="H166" s="4">
        <v>2</v>
      </c>
      <c r="I166" s="4">
        <v>2054</v>
      </c>
      <c r="J166" s="10" t="str">
        <f>VLOOKUP(E166,Diagnosis!$A$2:$B$11,2,FALSE)</f>
        <v>Liver Disease</v>
      </c>
      <c r="K166" s="10" t="str">
        <f>VLOOKUP(H166,Outcomes!$A$2:$B$4,2,FALSE)</f>
        <v>Complicated</v>
      </c>
      <c r="L166" s="9">
        <f t="shared" si="10"/>
        <v>4</v>
      </c>
      <c r="M166" s="10" t="str">
        <f>_xlfn.IFNA(IF(VLOOKUP(Patients!A166,Labs!$B$2:$D$201,3,FALSE)&gt;120,"High","Normal"),"Not Applicable")</f>
        <v>High</v>
      </c>
      <c r="N166" s="12" t="str">
        <f t="shared" si="11"/>
        <v>High Risk</v>
      </c>
    </row>
    <row r="167" spans="1:14" x14ac:dyDescent="0.2">
      <c r="A167" s="4">
        <v>166</v>
      </c>
      <c r="B167" s="10" t="s">
        <v>176</v>
      </c>
      <c r="C167" s="4">
        <v>76</v>
      </c>
      <c r="D167" s="10" t="s">
        <v>10</v>
      </c>
      <c r="E167" s="9">
        <v>10</v>
      </c>
      <c r="F167" s="5">
        <v>45665</v>
      </c>
      <c r="G167" s="5">
        <v>45704</v>
      </c>
      <c r="H167" s="4">
        <v>1</v>
      </c>
      <c r="I167" s="4">
        <v>9643</v>
      </c>
      <c r="J167" s="10" t="str">
        <f>VLOOKUP(E167,Diagnosis!$A$2:$B$11,2,FALSE)</f>
        <v>Liver Disease</v>
      </c>
      <c r="K167" s="10" t="str">
        <f>VLOOKUP(H167,Outcomes!$A$2:$B$4,2,FALSE)</f>
        <v>Recovered</v>
      </c>
      <c r="L167" s="9">
        <f t="shared" si="10"/>
        <v>39</v>
      </c>
      <c r="M167" s="10" t="str">
        <f>_xlfn.IFNA(IF(VLOOKUP(Patients!A167,Labs!$B$2:$D$201,3,FALSE)&gt;120,"High","Normal"),"Not Applicable")</f>
        <v>High</v>
      </c>
      <c r="N167" s="12" t="str">
        <f t="shared" si="11"/>
        <v>Low Risk</v>
      </c>
    </row>
    <row r="168" spans="1:14" x14ac:dyDescent="0.2">
      <c r="A168" s="4">
        <v>167</v>
      </c>
      <c r="B168" s="10" t="s">
        <v>177</v>
      </c>
      <c r="C168" s="4">
        <v>43</v>
      </c>
      <c r="D168" s="10" t="s">
        <v>14</v>
      </c>
      <c r="E168" s="9">
        <v>6</v>
      </c>
      <c r="F168" s="5">
        <v>45779</v>
      </c>
      <c r="G168" s="5">
        <v>45781</v>
      </c>
      <c r="H168" s="4">
        <v>3</v>
      </c>
      <c r="I168" s="4">
        <v>3823</v>
      </c>
      <c r="J168" s="10" t="str">
        <f>VLOOKUP(E168,Diagnosis!$A$2:$B$11,2,FALSE)</f>
        <v>COPD</v>
      </c>
      <c r="K168" s="10" t="str">
        <f>VLOOKUP(H168,Outcomes!$A$2:$B$4,2,FALSE)</f>
        <v>Deceased</v>
      </c>
      <c r="L168" s="9">
        <f t="shared" si="10"/>
        <v>2</v>
      </c>
      <c r="M168" s="10" t="str">
        <f>_xlfn.IFNA(IF(VLOOKUP(Patients!A168,Labs!$B$2:$D$201,3,FALSE)&gt;120,"High","Normal"),"Not Applicable")</f>
        <v>Not Applicable</v>
      </c>
      <c r="N168" s="12" t="str">
        <f t="shared" si="11"/>
        <v>Low Risk</v>
      </c>
    </row>
    <row r="169" spans="1:14" x14ac:dyDescent="0.2">
      <c r="A169" s="4">
        <v>168</v>
      </c>
      <c r="B169" s="10" t="s">
        <v>178</v>
      </c>
      <c r="C169" s="4">
        <v>32</v>
      </c>
      <c r="D169" s="10" t="s">
        <v>10</v>
      </c>
      <c r="E169" s="9">
        <v>5</v>
      </c>
      <c r="F169" s="5">
        <v>45749</v>
      </c>
      <c r="G169" s="5">
        <v>45750</v>
      </c>
      <c r="H169" s="4">
        <v>2</v>
      </c>
      <c r="I169" s="4">
        <v>7297</v>
      </c>
      <c r="J169" s="10" t="str">
        <f>VLOOKUP(E169,Diagnosis!$A$2:$B$11,2,FALSE)</f>
        <v>Stroke</v>
      </c>
      <c r="K169" s="10" t="str">
        <f>VLOOKUP(H169,Outcomes!$A$2:$B$4,2,FALSE)</f>
        <v>Complicated</v>
      </c>
      <c r="L169" s="9">
        <f t="shared" si="10"/>
        <v>1</v>
      </c>
      <c r="M169" s="10" t="str">
        <f>_xlfn.IFNA(IF(VLOOKUP(Patients!A169,Labs!$B$2:$D$201,3,FALSE)&gt;120,"High","Normal"),"Not Applicable")</f>
        <v>High</v>
      </c>
      <c r="N169" s="12" t="str">
        <f t="shared" si="11"/>
        <v>Low Risk</v>
      </c>
    </row>
    <row r="170" spans="1:14" x14ac:dyDescent="0.2">
      <c r="A170" s="4">
        <v>169</v>
      </c>
      <c r="B170" s="10" t="s">
        <v>179</v>
      </c>
      <c r="C170" s="4">
        <v>30</v>
      </c>
      <c r="D170" s="10" t="s">
        <v>10</v>
      </c>
      <c r="E170" s="9">
        <v>4</v>
      </c>
      <c r="F170" s="5">
        <v>45821</v>
      </c>
      <c r="G170" s="5">
        <v>45827</v>
      </c>
      <c r="H170" s="4">
        <v>1</v>
      </c>
      <c r="I170" s="4">
        <v>5462</v>
      </c>
      <c r="J170" s="10" t="str">
        <f>VLOOKUP(E170,Diagnosis!$A$2:$B$11,2,FALSE)</f>
        <v>Asthma</v>
      </c>
      <c r="K170" s="10" t="str">
        <f>VLOOKUP(H170,Outcomes!$A$2:$B$4,2,FALSE)</f>
        <v>Recovered</v>
      </c>
      <c r="L170" s="9">
        <f t="shared" si="10"/>
        <v>6</v>
      </c>
      <c r="M170" s="10" t="str">
        <f>_xlfn.IFNA(IF(VLOOKUP(Patients!A170,Labs!$B$2:$D$201,3,FALSE)&gt;120,"High","Normal"),"Not Applicable")</f>
        <v>Not Applicable</v>
      </c>
      <c r="N170" s="12" t="str">
        <f t="shared" si="11"/>
        <v>Low Risk</v>
      </c>
    </row>
    <row r="171" spans="1:14" x14ac:dyDescent="0.2">
      <c r="A171" s="4">
        <v>170</v>
      </c>
      <c r="B171" s="10" t="s">
        <v>180</v>
      </c>
      <c r="C171" s="4">
        <v>34</v>
      </c>
      <c r="D171" s="10" t="s">
        <v>10</v>
      </c>
      <c r="E171" s="9">
        <v>2</v>
      </c>
      <c r="F171" s="5">
        <v>45747</v>
      </c>
      <c r="G171" s="5">
        <v>45754</v>
      </c>
      <c r="H171" s="4">
        <v>2</v>
      </c>
      <c r="I171" s="4">
        <v>9516</v>
      </c>
      <c r="J171" s="10" t="str">
        <f>VLOOKUP(E171,Diagnosis!$A$2:$B$11,2,FALSE)</f>
        <v>Diabetes</v>
      </c>
      <c r="K171" s="10" t="str">
        <f>VLOOKUP(H171,Outcomes!$A$2:$B$4,2,FALSE)</f>
        <v>Complicated</v>
      </c>
      <c r="L171" s="9">
        <f t="shared" si="10"/>
        <v>7</v>
      </c>
      <c r="M171" s="10" t="str">
        <f>_xlfn.IFNA(IF(VLOOKUP(Patients!A171,Labs!$B$2:$D$201,3,FALSE)&gt;120,"High","Normal"),"Not Applicable")</f>
        <v>Not Applicable</v>
      </c>
      <c r="N171" s="12" t="str">
        <f t="shared" si="11"/>
        <v>Low Risk</v>
      </c>
    </row>
    <row r="172" spans="1:14" x14ac:dyDescent="0.2">
      <c r="A172" s="4">
        <v>171</v>
      </c>
      <c r="B172" s="10" t="s">
        <v>181</v>
      </c>
      <c r="C172" s="4">
        <v>55</v>
      </c>
      <c r="D172" s="10" t="s">
        <v>10</v>
      </c>
      <c r="E172" s="9">
        <v>4</v>
      </c>
      <c r="F172" s="5">
        <v>45793</v>
      </c>
      <c r="G172" s="5">
        <v>45798</v>
      </c>
      <c r="H172" s="4">
        <v>2</v>
      </c>
      <c r="I172" s="4">
        <v>5079</v>
      </c>
      <c r="J172" s="10" t="str">
        <f>VLOOKUP(E172,Diagnosis!$A$2:$B$11,2,FALSE)</f>
        <v>Asthma</v>
      </c>
      <c r="K172" s="10" t="str">
        <f>VLOOKUP(H172,Outcomes!$A$2:$B$4,2,FALSE)</f>
        <v>Complicated</v>
      </c>
      <c r="L172" s="9">
        <f t="shared" si="10"/>
        <v>5</v>
      </c>
      <c r="M172" s="10" t="str">
        <f>_xlfn.IFNA(IF(VLOOKUP(Patients!A172,Labs!$B$2:$D$201,3,FALSE)&gt;120,"High","Normal"),"Not Applicable")</f>
        <v>High</v>
      </c>
      <c r="N172" s="12" t="str">
        <f t="shared" si="11"/>
        <v>Low Risk</v>
      </c>
    </row>
    <row r="173" spans="1:14" x14ac:dyDescent="0.2">
      <c r="A173" s="4">
        <v>172</v>
      </c>
      <c r="B173" s="10" t="s">
        <v>182</v>
      </c>
      <c r="C173" s="4">
        <v>84</v>
      </c>
      <c r="D173" s="10" t="s">
        <v>10</v>
      </c>
      <c r="E173" s="9">
        <v>10</v>
      </c>
      <c r="F173" s="5">
        <v>45717</v>
      </c>
      <c r="G173" s="5">
        <v>45719</v>
      </c>
      <c r="H173" s="4">
        <v>1</v>
      </c>
      <c r="I173" s="4">
        <v>2832</v>
      </c>
      <c r="J173" s="10" t="str">
        <f>VLOOKUP(E173,Diagnosis!$A$2:$B$11,2,FALSE)</f>
        <v>Liver Disease</v>
      </c>
      <c r="K173" s="10" t="str">
        <f>VLOOKUP(H173,Outcomes!$A$2:$B$4,2,FALSE)</f>
        <v>Recovered</v>
      </c>
      <c r="L173" s="9">
        <f t="shared" si="10"/>
        <v>2</v>
      </c>
      <c r="M173" s="10" t="str">
        <f>_xlfn.IFNA(IF(VLOOKUP(Patients!A173,Labs!$B$2:$D$201,3,FALSE)&gt;120,"High","Normal"),"Not Applicable")</f>
        <v>High</v>
      </c>
      <c r="N173" s="12" t="str">
        <f t="shared" si="11"/>
        <v>Low Risk</v>
      </c>
    </row>
    <row r="174" spans="1:14" x14ac:dyDescent="0.2">
      <c r="A174" s="4">
        <v>173</v>
      </c>
      <c r="B174" s="10" t="s">
        <v>183</v>
      </c>
      <c r="C174" s="4">
        <v>43</v>
      </c>
      <c r="D174" s="10" t="s">
        <v>10</v>
      </c>
      <c r="E174" s="9">
        <v>10</v>
      </c>
      <c r="F174" s="5">
        <v>45835</v>
      </c>
      <c r="G174" s="5">
        <v>45839</v>
      </c>
      <c r="H174" s="4">
        <v>3</v>
      </c>
      <c r="I174" s="4">
        <v>6408</v>
      </c>
      <c r="J174" s="10" t="str">
        <f>VLOOKUP(E174,Diagnosis!$A$2:$B$11,2,FALSE)</f>
        <v>Liver Disease</v>
      </c>
      <c r="K174" s="10" t="str">
        <f>VLOOKUP(H174,Outcomes!$A$2:$B$4,2,FALSE)</f>
        <v>Deceased</v>
      </c>
      <c r="L174" s="9">
        <f t="shared" si="10"/>
        <v>4</v>
      </c>
      <c r="M174" s="10" t="str">
        <f>_xlfn.IFNA(IF(VLOOKUP(Patients!A174,Labs!$B$2:$D$201,3,FALSE)&gt;120,"High","Normal"),"Not Applicable")</f>
        <v>Normal</v>
      </c>
      <c r="N174" s="12" t="str">
        <f t="shared" si="11"/>
        <v>Low Risk</v>
      </c>
    </row>
    <row r="175" spans="1:14" x14ac:dyDescent="0.2">
      <c r="A175" s="4">
        <v>174</v>
      </c>
      <c r="B175" s="10" t="s">
        <v>184</v>
      </c>
      <c r="C175" s="4">
        <v>68</v>
      </c>
      <c r="D175" s="10" t="s">
        <v>14</v>
      </c>
      <c r="E175" s="9">
        <v>3</v>
      </c>
      <c r="F175" s="5">
        <v>45685</v>
      </c>
      <c r="G175" s="5">
        <v>45792</v>
      </c>
      <c r="H175" s="4">
        <v>3</v>
      </c>
      <c r="I175" s="4">
        <v>4806</v>
      </c>
      <c r="J175" s="10" t="str">
        <f>VLOOKUP(E175,Diagnosis!$A$2:$B$11,2,FALSE)</f>
        <v>Heart Disease</v>
      </c>
      <c r="K175" s="10" t="str">
        <f>VLOOKUP(H175,Outcomes!$A$2:$B$4,2,FALSE)</f>
        <v>Deceased</v>
      </c>
      <c r="L175" s="9">
        <f t="shared" si="10"/>
        <v>107</v>
      </c>
      <c r="M175" s="10" t="str">
        <f>_xlfn.IFNA(IF(VLOOKUP(Patients!A175,Labs!$B$2:$D$201,3,FALSE)&gt;120,"High","Normal"),"Not Applicable")</f>
        <v>Not Applicable</v>
      </c>
      <c r="N175" s="12" t="str">
        <f t="shared" si="11"/>
        <v>High Risk</v>
      </c>
    </row>
    <row r="176" spans="1:14" x14ac:dyDescent="0.2">
      <c r="A176" s="4">
        <v>175</v>
      </c>
      <c r="B176" s="10" t="s">
        <v>185</v>
      </c>
      <c r="C176" s="4">
        <v>56</v>
      </c>
      <c r="D176" s="10" t="s">
        <v>14</v>
      </c>
      <c r="E176" s="9">
        <v>10</v>
      </c>
      <c r="F176" s="5">
        <v>45758</v>
      </c>
      <c r="G176" s="5">
        <v>45768</v>
      </c>
      <c r="H176" s="4">
        <v>1</v>
      </c>
      <c r="I176" s="4">
        <v>7954</v>
      </c>
      <c r="J176" s="10" t="str">
        <f>VLOOKUP(E176,Diagnosis!$A$2:$B$11,2,FALSE)</f>
        <v>Liver Disease</v>
      </c>
      <c r="K176" s="10" t="str">
        <f>VLOOKUP(H176,Outcomes!$A$2:$B$4,2,FALSE)</f>
        <v>Recovered</v>
      </c>
      <c r="L176" s="9">
        <f t="shared" si="10"/>
        <v>10</v>
      </c>
      <c r="M176" s="10" t="str">
        <f>_xlfn.IFNA(IF(VLOOKUP(Patients!A176,Labs!$B$2:$D$201,3,FALSE)&gt;120,"High","Normal"),"Not Applicable")</f>
        <v>Not Applicable</v>
      </c>
      <c r="N176" s="12" t="str">
        <f t="shared" si="11"/>
        <v>Low Risk</v>
      </c>
    </row>
    <row r="177" spans="1:14" x14ac:dyDescent="0.2">
      <c r="A177" s="4">
        <v>176</v>
      </c>
      <c r="B177" s="10" t="s">
        <v>186</v>
      </c>
      <c r="C177" s="4">
        <v>38</v>
      </c>
      <c r="D177" s="10" t="s">
        <v>10</v>
      </c>
      <c r="E177" s="9">
        <v>1</v>
      </c>
      <c r="F177" s="5">
        <v>45698</v>
      </c>
      <c r="G177" s="5">
        <v>45704</v>
      </c>
      <c r="H177" s="4">
        <v>3</v>
      </c>
      <c r="I177" s="4">
        <v>8103</v>
      </c>
      <c r="J177" s="10" t="str">
        <f>VLOOKUP(E177,Diagnosis!$A$2:$B$11,2,FALSE)</f>
        <v>Hypertension</v>
      </c>
      <c r="K177" s="10" t="str">
        <f>VLOOKUP(H177,Outcomes!$A$2:$B$4,2,FALSE)</f>
        <v>Deceased</v>
      </c>
      <c r="L177" s="9">
        <f t="shared" si="10"/>
        <v>6</v>
      </c>
      <c r="M177" s="10" t="str">
        <f>_xlfn.IFNA(IF(VLOOKUP(Patients!A177,Labs!$B$2:$D$201,3,FALSE)&gt;120,"High","Normal"),"Not Applicable")</f>
        <v>Normal</v>
      </c>
      <c r="N177" s="12" t="str">
        <f t="shared" si="11"/>
        <v>Low Risk</v>
      </c>
    </row>
    <row r="178" spans="1:14" x14ac:dyDescent="0.2">
      <c r="A178" s="4">
        <v>177</v>
      </c>
      <c r="B178" s="10" t="s">
        <v>187</v>
      </c>
      <c r="C178" s="4">
        <v>44</v>
      </c>
      <c r="D178" s="10" t="s">
        <v>14</v>
      </c>
      <c r="E178" s="9">
        <v>8</v>
      </c>
      <c r="F178" s="5">
        <v>45812</v>
      </c>
      <c r="G178" s="5">
        <v>45816</v>
      </c>
      <c r="H178" s="4">
        <v>1</v>
      </c>
      <c r="I178" s="4">
        <v>8102</v>
      </c>
      <c r="J178" s="10" t="str">
        <f>VLOOKUP(E178,Diagnosis!$A$2:$B$11,2,FALSE)</f>
        <v>Arthritis</v>
      </c>
      <c r="K178" s="10" t="str">
        <f>VLOOKUP(H178,Outcomes!$A$2:$B$4,2,FALSE)</f>
        <v>Recovered</v>
      </c>
      <c r="L178" s="9">
        <f t="shared" si="10"/>
        <v>4</v>
      </c>
      <c r="M178" s="10" t="str">
        <f>_xlfn.IFNA(IF(VLOOKUP(Patients!A178,Labs!$B$2:$D$201,3,FALSE)&gt;120,"High","Normal"),"Not Applicable")</f>
        <v>Not Applicable</v>
      </c>
      <c r="N178" s="12" t="str">
        <f t="shared" si="11"/>
        <v>Low Risk</v>
      </c>
    </row>
    <row r="179" spans="1:14" x14ac:dyDescent="0.2">
      <c r="A179" s="4">
        <v>178</v>
      </c>
      <c r="B179" s="10" t="s">
        <v>188</v>
      </c>
      <c r="C179" s="4">
        <v>44</v>
      </c>
      <c r="D179" s="10" t="s">
        <v>14</v>
      </c>
      <c r="E179" s="9">
        <v>5</v>
      </c>
      <c r="F179" s="5">
        <v>45802</v>
      </c>
      <c r="G179" s="5">
        <v>45810</v>
      </c>
      <c r="H179" s="4">
        <v>1</v>
      </c>
      <c r="I179" s="4">
        <v>4490</v>
      </c>
      <c r="J179" s="10" t="str">
        <f>VLOOKUP(E179,Diagnosis!$A$2:$B$11,2,FALSE)</f>
        <v>Stroke</v>
      </c>
      <c r="K179" s="10" t="str">
        <f>VLOOKUP(H179,Outcomes!$A$2:$B$4,2,FALSE)</f>
        <v>Recovered</v>
      </c>
      <c r="L179" s="9">
        <f t="shared" si="10"/>
        <v>8</v>
      </c>
      <c r="M179" s="10" t="str">
        <f>_xlfn.IFNA(IF(VLOOKUP(Patients!A179,Labs!$B$2:$D$201,3,FALSE)&gt;120,"High","Normal"),"Not Applicable")</f>
        <v>Not Applicable</v>
      </c>
      <c r="N179" s="12" t="str">
        <f t="shared" si="11"/>
        <v>Low Risk</v>
      </c>
    </row>
    <row r="180" spans="1:14" x14ac:dyDescent="0.2">
      <c r="A180" s="4">
        <v>179</v>
      </c>
      <c r="B180" s="10" t="s">
        <v>189</v>
      </c>
      <c r="C180" s="4">
        <v>55</v>
      </c>
      <c r="D180" s="10" t="s">
        <v>14</v>
      </c>
      <c r="E180" s="9">
        <v>4</v>
      </c>
      <c r="F180" s="5">
        <v>45818</v>
      </c>
      <c r="G180" s="5">
        <v>45825</v>
      </c>
      <c r="H180" s="4">
        <v>1</v>
      </c>
      <c r="I180" s="4">
        <v>7886</v>
      </c>
      <c r="J180" s="10" t="str">
        <f>VLOOKUP(E180,Diagnosis!$A$2:$B$11,2,FALSE)</f>
        <v>Asthma</v>
      </c>
      <c r="K180" s="10" t="str">
        <f>VLOOKUP(H180,Outcomes!$A$2:$B$4,2,FALSE)</f>
        <v>Recovered</v>
      </c>
      <c r="L180" s="9">
        <f t="shared" si="10"/>
        <v>7</v>
      </c>
      <c r="M180" s="10" t="str">
        <f>_xlfn.IFNA(IF(VLOOKUP(Patients!A180,Labs!$B$2:$D$201,3,FALSE)&gt;120,"High","Normal"),"Not Applicable")</f>
        <v>Normal</v>
      </c>
      <c r="N180" s="12" t="str">
        <f t="shared" si="11"/>
        <v>Low Risk</v>
      </c>
    </row>
    <row r="181" spans="1:14" x14ac:dyDescent="0.2">
      <c r="A181" s="4">
        <v>180</v>
      </c>
      <c r="B181" s="10" t="s">
        <v>190</v>
      </c>
      <c r="C181" s="4">
        <v>71</v>
      </c>
      <c r="D181" s="10" t="s">
        <v>14</v>
      </c>
      <c r="E181" s="9">
        <v>8</v>
      </c>
      <c r="F181" s="5">
        <v>45814</v>
      </c>
      <c r="G181" s="5">
        <v>45822</v>
      </c>
      <c r="H181" s="4">
        <v>3</v>
      </c>
      <c r="I181" s="4">
        <v>2327</v>
      </c>
      <c r="J181" s="10" t="str">
        <f>VLOOKUP(E181,Diagnosis!$A$2:$B$11,2,FALSE)</f>
        <v>Arthritis</v>
      </c>
      <c r="K181" s="10" t="str">
        <f>VLOOKUP(H181,Outcomes!$A$2:$B$4,2,FALSE)</f>
        <v>Deceased</v>
      </c>
      <c r="L181" s="9">
        <f t="shared" si="10"/>
        <v>8</v>
      </c>
      <c r="M181" s="10" t="str">
        <f>_xlfn.IFNA(IF(VLOOKUP(Patients!A181,Labs!$B$2:$D$201,3,FALSE)&gt;120,"High","Normal"),"Not Applicable")</f>
        <v>Not Applicable</v>
      </c>
      <c r="N181" s="12" t="str">
        <f t="shared" si="11"/>
        <v>High Risk</v>
      </c>
    </row>
    <row r="182" spans="1:14" x14ac:dyDescent="0.2">
      <c r="A182" s="4">
        <v>181</v>
      </c>
      <c r="B182" s="10" t="s">
        <v>191</v>
      </c>
      <c r="C182" s="4">
        <v>89</v>
      </c>
      <c r="D182" s="10" t="s">
        <v>10</v>
      </c>
      <c r="E182" s="9">
        <v>7</v>
      </c>
      <c r="F182" s="5">
        <v>45798</v>
      </c>
      <c r="G182" s="5">
        <v>45804</v>
      </c>
      <c r="H182" s="4">
        <v>1</v>
      </c>
      <c r="I182" s="4">
        <v>9221</v>
      </c>
      <c r="J182" s="10" t="str">
        <f>VLOOKUP(E182,Diagnosis!$A$2:$B$11,2,FALSE)</f>
        <v>Cancer</v>
      </c>
      <c r="K182" s="10" t="str">
        <f>VLOOKUP(H182,Outcomes!$A$2:$B$4,2,FALSE)</f>
        <v>Recovered</v>
      </c>
      <c r="L182" s="9">
        <f t="shared" si="10"/>
        <v>6</v>
      </c>
      <c r="M182" s="10" t="str">
        <f>_xlfn.IFNA(IF(VLOOKUP(Patients!A182,Labs!$B$2:$D$201,3,FALSE)&gt;120,"High","Normal"),"Not Applicable")</f>
        <v>High</v>
      </c>
      <c r="N182" s="12" t="str">
        <f t="shared" si="11"/>
        <v>Low Risk</v>
      </c>
    </row>
    <row r="183" spans="1:14" x14ac:dyDescent="0.2">
      <c r="A183" s="4">
        <v>182</v>
      </c>
      <c r="B183" s="10" t="s">
        <v>192</v>
      </c>
      <c r="C183" s="4">
        <v>42</v>
      </c>
      <c r="D183" s="10" t="s">
        <v>14</v>
      </c>
      <c r="E183" s="9">
        <v>2</v>
      </c>
      <c r="F183" s="5">
        <v>45703</v>
      </c>
      <c r="G183" s="5">
        <v>45733</v>
      </c>
      <c r="H183" s="4">
        <v>2</v>
      </c>
      <c r="I183" s="4">
        <v>8904</v>
      </c>
      <c r="J183" s="10" t="str">
        <f>VLOOKUP(E183,Diagnosis!$A$2:$B$11,2,FALSE)</f>
        <v>Diabetes</v>
      </c>
      <c r="K183" s="10" t="str">
        <f>VLOOKUP(H183,Outcomes!$A$2:$B$4,2,FALSE)</f>
        <v>Complicated</v>
      </c>
      <c r="L183" s="9">
        <f t="shared" si="10"/>
        <v>30</v>
      </c>
      <c r="M183" s="10" t="str">
        <f>_xlfn.IFNA(IF(VLOOKUP(Patients!A183,Labs!$B$2:$D$201,3,FALSE)&gt;120,"High","Normal"),"Not Applicable")</f>
        <v>High</v>
      </c>
      <c r="N183" s="12" t="str">
        <f t="shared" si="11"/>
        <v>Low Risk</v>
      </c>
    </row>
    <row r="184" spans="1:14" x14ac:dyDescent="0.2">
      <c r="A184" s="4">
        <v>183</v>
      </c>
      <c r="B184" s="10" t="s">
        <v>193</v>
      </c>
      <c r="C184" s="4">
        <v>80</v>
      </c>
      <c r="D184" s="10" t="s">
        <v>14</v>
      </c>
      <c r="E184" s="9">
        <v>1</v>
      </c>
      <c r="F184" s="5">
        <v>45692</v>
      </c>
      <c r="G184" s="5">
        <v>45775</v>
      </c>
      <c r="H184" s="4">
        <v>3</v>
      </c>
      <c r="I184" s="4">
        <v>5310</v>
      </c>
      <c r="J184" s="10" t="str">
        <f>VLOOKUP(E184,Diagnosis!$A$2:$B$11,2,FALSE)</f>
        <v>Hypertension</v>
      </c>
      <c r="K184" s="10" t="str">
        <f>VLOOKUP(H184,Outcomes!$A$2:$B$4,2,FALSE)</f>
        <v>Deceased</v>
      </c>
      <c r="L184" s="9">
        <f t="shared" si="10"/>
        <v>83</v>
      </c>
      <c r="M184" s="10" t="str">
        <f>_xlfn.IFNA(IF(VLOOKUP(Patients!A184,Labs!$B$2:$D$201,3,FALSE)&gt;120,"High","Normal"),"Not Applicable")</f>
        <v>Not Applicable</v>
      </c>
      <c r="N184" s="12" t="str">
        <f t="shared" si="11"/>
        <v>High Risk</v>
      </c>
    </row>
    <row r="185" spans="1:14" x14ac:dyDescent="0.2">
      <c r="A185" s="4">
        <v>184</v>
      </c>
      <c r="B185" s="10" t="s">
        <v>194</v>
      </c>
      <c r="C185" s="4">
        <v>61</v>
      </c>
      <c r="D185" s="10" t="s">
        <v>10</v>
      </c>
      <c r="E185" s="9">
        <v>4</v>
      </c>
      <c r="F185" s="5">
        <v>45791</v>
      </c>
      <c r="G185" s="5">
        <v>45812</v>
      </c>
      <c r="H185" s="4">
        <v>3</v>
      </c>
      <c r="I185" s="4">
        <v>5300</v>
      </c>
      <c r="J185" s="10" t="str">
        <f>VLOOKUP(E185,Diagnosis!$A$2:$B$11,2,FALSE)</f>
        <v>Asthma</v>
      </c>
      <c r="K185" s="10" t="str">
        <f>VLOOKUP(H185,Outcomes!$A$2:$B$4,2,FALSE)</f>
        <v>Deceased</v>
      </c>
      <c r="L185" s="9">
        <f t="shared" si="10"/>
        <v>21</v>
      </c>
      <c r="M185" s="10" t="str">
        <f>_xlfn.IFNA(IF(VLOOKUP(Patients!A185,Labs!$B$2:$D$201,3,FALSE)&gt;120,"High","Normal"),"Not Applicable")</f>
        <v>Not Applicable</v>
      </c>
      <c r="N185" s="12" t="str">
        <f t="shared" si="11"/>
        <v>Low Risk</v>
      </c>
    </row>
    <row r="186" spans="1:14" x14ac:dyDescent="0.2">
      <c r="A186" s="4">
        <v>185</v>
      </c>
      <c r="B186" s="10" t="s">
        <v>195</v>
      </c>
      <c r="C186" s="4">
        <v>68</v>
      </c>
      <c r="D186" s="10" t="s">
        <v>10</v>
      </c>
      <c r="E186" s="9">
        <v>8</v>
      </c>
      <c r="F186" s="5">
        <v>45739</v>
      </c>
      <c r="G186" s="5">
        <v>45777</v>
      </c>
      <c r="H186" s="4">
        <v>3</v>
      </c>
      <c r="I186" s="4">
        <v>8722</v>
      </c>
      <c r="J186" s="10" t="str">
        <f>VLOOKUP(E186,Diagnosis!$A$2:$B$11,2,FALSE)</f>
        <v>Arthritis</v>
      </c>
      <c r="K186" s="10" t="str">
        <f>VLOOKUP(H186,Outcomes!$A$2:$B$4,2,FALSE)</f>
        <v>Deceased</v>
      </c>
      <c r="L186" s="9">
        <f t="shared" si="10"/>
        <v>38</v>
      </c>
      <c r="M186" s="10" t="str">
        <f>_xlfn.IFNA(IF(VLOOKUP(Patients!A186,Labs!$B$2:$D$201,3,FALSE)&gt;120,"High","Normal"),"Not Applicable")</f>
        <v>Not Applicable</v>
      </c>
      <c r="N186" s="12" t="str">
        <f t="shared" si="11"/>
        <v>High Risk</v>
      </c>
    </row>
    <row r="187" spans="1:14" x14ac:dyDescent="0.2">
      <c r="A187" s="4">
        <v>186</v>
      </c>
      <c r="B187" s="10" t="s">
        <v>196</v>
      </c>
      <c r="C187" s="4">
        <v>78</v>
      </c>
      <c r="D187" s="10" t="s">
        <v>14</v>
      </c>
      <c r="E187" s="9">
        <v>2</v>
      </c>
      <c r="F187" s="5">
        <v>45772</v>
      </c>
      <c r="G187" s="5">
        <v>45777</v>
      </c>
      <c r="H187" s="4">
        <v>3</v>
      </c>
      <c r="I187" s="4">
        <v>9218</v>
      </c>
      <c r="J187" s="10" t="str">
        <f>VLOOKUP(E187,Diagnosis!$A$2:$B$11,2,FALSE)</f>
        <v>Diabetes</v>
      </c>
      <c r="K187" s="10" t="str">
        <f>VLOOKUP(H187,Outcomes!$A$2:$B$4,2,FALSE)</f>
        <v>Deceased</v>
      </c>
      <c r="L187" s="9">
        <f t="shared" si="10"/>
        <v>5</v>
      </c>
      <c r="M187" s="10" t="str">
        <f>_xlfn.IFNA(IF(VLOOKUP(Patients!A187,Labs!$B$2:$D$201,3,FALSE)&gt;120,"High","Normal"),"Not Applicable")</f>
        <v>High</v>
      </c>
      <c r="N187" s="12" t="str">
        <f t="shared" si="11"/>
        <v>High Risk</v>
      </c>
    </row>
    <row r="188" spans="1:14" x14ac:dyDescent="0.2">
      <c r="A188" s="4">
        <v>187</v>
      </c>
      <c r="B188" s="10" t="s">
        <v>197</v>
      </c>
      <c r="C188" s="4">
        <v>81</v>
      </c>
      <c r="D188" s="10" t="s">
        <v>14</v>
      </c>
      <c r="E188" s="9">
        <v>3</v>
      </c>
      <c r="F188" s="5">
        <v>45704</v>
      </c>
      <c r="G188" s="5">
        <v>45707</v>
      </c>
      <c r="H188" s="4">
        <v>2</v>
      </c>
      <c r="I188" s="4">
        <v>9776</v>
      </c>
      <c r="J188" s="10" t="str">
        <f>VLOOKUP(E188,Diagnosis!$A$2:$B$11,2,FALSE)</f>
        <v>Heart Disease</v>
      </c>
      <c r="K188" s="10" t="str">
        <f>VLOOKUP(H188,Outcomes!$A$2:$B$4,2,FALSE)</f>
        <v>Complicated</v>
      </c>
      <c r="L188" s="9">
        <f t="shared" si="10"/>
        <v>3</v>
      </c>
      <c r="M188" s="10" t="str">
        <f>_xlfn.IFNA(IF(VLOOKUP(Patients!A188,Labs!$B$2:$D$201,3,FALSE)&gt;120,"High","Normal"),"Not Applicable")</f>
        <v>High</v>
      </c>
      <c r="N188" s="12" t="str">
        <f t="shared" si="11"/>
        <v>High Risk</v>
      </c>
    </row>
    <row r="189" spans="1:14" x14ac:dyDescent="0.2">
      <c r="A189" s="4">
        <v>188</v>
      </c>
      <c r="B189" s="10" t="s">
        <v>198</v>
      </c>
      <c r="C189" s="4">
        <v>61</v>
      </c>
      <c r="D189" s="10" t="s">
        <v>14</v>
      </c>
      <c r="E189" s="9">
        <v>1</v>
      </c>
      <c r="F189" s="5">
        <v>45810</v>
      </c>
      <c r="G189" s="5">
        <v>45815</v>
      </c>
      <c r="H189" s="4">
        <v>3</v>
      </c>
      <c r="I189" s="4">
        <v>5675</v>
      </c>
      <c r="J189" s="10" t="str">
        <f>VLOOKUP(E189,Diagnosis!$A$2:$B$11,2,FALSE)</f>
        <v>Hypertension</v>
      </c>
      <c r="K189" s="10" t="str">
        <f>VLOOKUP(H189,Outcomes!$A$2:$B$4,2,FALSE)</f>
        <v>Deceased</v>
      </c>
      <c r="L189" s="9">
        <f t="shared" si="10"/>
        <v>5</v>
      </c>
      <c r="M189" s="10" t="str">
        <f>_xlfn.IFNA(IF(VLOOKUP(Patients!A189,Labs!$B$2:$D$201,3,FALSE)&gt;120,"High","Normal"),"Not Applicable")</f>
        <v>High</v>
      </c>
      <c r="N189" s="12" t="str">
        <f t="shared" si="11"/>
        <v>Low Risk</v>
      </c>
    </row>
    <row r="190" spans="1:14" x14ac:dyDescent="0.2">
      <c r="A190" s="4">
        <v>189</v>
      </c>
      <c r="B190" s="10" t="s">
        <v>199</v>
      </c>
      <c r="C190" s="4">
        <v>33</v>
      </c>
      <c r="D190" s="10" t="s">
        <v>14</v>
      </c>
      <c r="E190" s="9">
        <v>1</v>
      </c>
      <c r="F190" s="5">
        <v>45667</v>
      </c>
      <c r="G190" s="5">
        <v>45674</v>
      </c>
      <c r="H190" s="4">
        <v>3</v>
      </c>
      <c r="I190" s="4">
        <v>5054</v>
      </c>
      <c r="J190" s="10" t="str">
        <f>VLOOKUP(E190,Diagnosis!$A$2:$B$11,2,FALSE)</f>
        <v>Hypertension</v>
      </c>
      <c r="K190" s="10" t="str">
        <f>VLOOKUP(H190,Outcomes!$A$2:$B$4,2,FALSE)</f>
        <v>Deceased</v>
      </c>
      <c r="L190" s="9">
        <f t="shared" si="10"/>
        <v>7</v>
      </c>
      <c r="M190" s="10" t="str">
        <f>_xlfn.IFNA(IF(VLOOKUP(Patients!A190,Labs!$B$2:$D$201,3,FALSE)&gt;120,"High","Normal"),"Not Applicable")</f>
        <v>High</v>
      </c>
      <c r="N190" s="12" t="str">
        <f t="shared" si="11"/>
        <v>Low Risk</v>
      </c>
    </row>
    <row r="191" spans="1:14" x14ac:dyDescent="0.2">
      <c r="A191" s="4">
        <v>190</v>
      </c>
      <c r="B191" s="10" t="s">
        <v>200</v>
      </c>
      <c r="C191" s="4">
        <v>59</v>
      </c>
      <c r="D191" s="10" t="s">
        <v>14</v>
      </c>
      <c r="E191" s="9">
        <v>3</v>
      </c>
      <c r="F191" s="5">
        <v>45713</v>
      </c>
      <c r="G191" s="5">
        <v>45834</v>
      </c>
      <c r="H191" s="4">
        <v>1</v>
      </c>
      <c r="I191" s="4">
        <v>7383</v>
      </c>
      <c r="J191" s="10" t="str">
        <f>VLOOKUP(E191,Diagnosis!$A$2:$B$11,2,FALSE)</f>
        <v>Heart Disease</v>
      </c>
      <c r="K191" s="10" t="str">
        <f>VLOOKUP(H191,Outcomes!$A$2:$B$4,2,FALSE)</f>
        <v>Recovered</v>
      </c>
      <c r="L191" s="9">
        <f t="shared" si="10"/>
        <v>121</v>
      </c>
      <c r="M191" s="10" t="str">
        <f>_xlfn.IFNA(IF(VLOOKUP(Patients!A191,Labs!$B$2:$D$201,3,FALSE)&gt;120,"High","Normal"),"Not Applicable")</f>
        <v>High</v>
      </c>
      <c r="N191" s="12" t="str">
        <f t="shared" si="11"/>
        <v>Low Risk</v>
      </c>
    </row>
    <row r="192" spans="1:14" x14ac:dyDescent="0.2">
      <c r="A192" s="4">
        <v>191</v>
      </c>
      <c r="B192" s="10" t="s">
        <v>201</v>
      </c>
      <c r="C192" s="4">
        <v>66</v>
      </c>
      <c r="D192" s="10" t="s">
        <v>14</v>
      </c>
      <c r="E192" s="9">
        <v>5</v>
      </c>
      <c r="F192" s="5">
        <v>45687</v>
      </c>
      <c r="G192" s="5">
        <v>45779</v>
      </c>
      <c r="H192" s="4">
        <v>3</v>
      </c>
      <c r="I192" s="4">
        <v>9585</v>
      </c>
      <c r="J192" s="10" t="str">
        <f>VLOOKUP(E192,Diagnosis!$A$2:$B$11,2,FALSE)</f>
        <v>Stroke</v>
      </c>
      <c r="K192" s="10" t="str">
        <f>VLOOKUP(H192,Outcomes!$A$2:$B$4,2,FALSE)</f>
        <v>Deceased</v>
      </c>
      <c r="L192" s="9">
        <f t="shared" si="10"/>
        <v>92</v>
      </c>
      <c r="M192" s="10" t="str">
        <f>_xlfn.IFNA(IF(VLOOKUP(Patients!A192,Labs!$B$2:$D$201,3,FALSE)&gt;120,"High","Normal"),"Not Applicable")</f>
        <v>Not Applicable</v>
      </c>
      <c r="N192" s="12" t="str">
        <f t="shared" si="11"/>
        <v>High Risk</v>
      </c>
    </row>
    <row r="193" spans="1:14" x14ac:dyDescent="0.2">
      <c r="A193" s="4">
        <v>192</v>
      </c>
      <c r="B193" s="10" t="s">
        <v>202</v>
      </c>
      <c r="C193" s="4">
        <v>52</v>
      </c>
      <c r="D193" s="10" t="s">
        <v>10</v>
      </c>
      <c r="E193" s="9">
        <v>3</v>
      </c>
      <c r="F193" s="5">
        <v>45766</v>
      </c>
      <c r="G193" s="5">
        <v>45769</v>
      </c>
      <c r="H193" s="4">
        <v>2</v>
      </c>
      <c r="I193" s="4">
        <v>9970</v>
      </c>
      <c r="J193" s="10" t="str">
        <f>VLOOKUP(E193,Diagnosis!$A$2:$B$11,2,FALSE)</f>
        <v>Heart Disease</v>
      </c>
      <c r="K193" s="10" t="str">
        <f>VLOOKUP(H193,Outcomes!$A$2:$B$4,2,FALSE)</f>
        <v>Complicated</v>
      </c>
      <c r="L193" s="9">
        <f t="shared" si="10"/>
        <v>3</v>
      </c>
      <c r="M193" s="10" t="str">
        <f>_xlfn.IFNA(IF(VLOOKUP(Patients!A193,Labs!$B$2:$D$201,3,FALSE)&gt;120,"High","Normal"),"Not Applicable")</f>
        <v>Not Applicable</v>
      </c>
      <c r="N193" s="12" t="str">
        <f t="shared" si="11"/>
        <v>Low Risk</v>
      </c>
    </row>
    <row r="194" spans="1:14" x14ac:dyDescent="0.2">
      <c r="A194" s="4">
        <v>193</v>
      </c>
      <c r="B194" s="10" t="s">
        <v>203</v>
      </c>
      <c r="C194" s="4">
        <v>68</v>
      </c>
      <c r="D194" s="10" t="s">
        <v>14</v>
      </c>
      <c r="E194" s="9">
        <v>1</v>
      </c>
      <c r="F194" s="5">
        <v>45662</v>
      </c>
      <c r="G194" s="5">
        <v>45708</v>
      </c>
      <c r="H194" s="4">
        <v>2</v>
      </c>
      <c r="I194" s="4">
        <v>4143</v>
      </c>
      <c r="J194" s="10" t="str">
        <f>VLOOKUP(E194,Diagnosis!$A$2:$B$11,2,FALSE)</f>
        <v>Hypertension</v>
      </c>
      <c r="K194" s="10" t="str">
        <f>VLOOKUP(H194,Outcomes!$A$2:$B$4,2,FALSE)</f>
        <v>Complicated</v>
      </c>
      <c r="L194" s="9">
        <f t="shared" ref="L194:L201" si="12">DATEDIF(F194,G194,"d")</f>
        <v>46</v>
      </c>
      <c r="M194" s="10" t="str">
        <f>_xlfn.IFNA(IF(VLOOKUP(Patients!A194,Labs!$B$2:$D$201,3,FALSE)&gt;120,"High","Normal"),"Not Applicable")</f>
        <v>High</v>
      </c>
      <c r="N194" s="12" t="str">
        <f t="shared" ref="N194:N201" si="13">IF(AND(C194&gt;65,H194&lt;&gt;1),"High Risk","Low Risk")</f>
        <v>High Risk</v>
      </c>
    </row>
    <row r="195" spans="1:14" x14ac:dyDescent="0.2">
      <c r="A195" s="4">
        <v>194</v>
      </c>
      <c r="B195" s="10" t="s">
        <v>204</v>
      </c>
      <c r="C195" s="4">
        <v>74</v>
      </c>
      <c r="D195" s="10" t="s">
        <v>14</v>
      </c>
      <c r="E195" s="9">
        <v>1</v>
      </c>
      <c r="F195" s="5">
        <v>45776</v>
      </c>
      <c r="G195" s="5">
        <v>45835</v>
      </c>
      <c r="H195" s="4">
        <v>2</v>
      </c>
      <c r="I195" s="4">
        <v>7207</v>
      </c>
      <c r="J195" s="10" t="str">
        <f>VLOOKUP(E195,Diagnosis!$A$2:$B$11,2,FALSE)</f>
        <v>Hypertension</v>
      </c>
      <c r="K195" s="10" t="str">
        <f>VLOOKUP(H195,Outcomes!$A$2:$B$4,2,FALSE)</f>
        <v>Complicated</v>
      </c>
      <c r="L195" s="9">
        <f t="shared" si="12"/>
        <v>59</v>
      </c>
      <c r="M195" s="10" t="str">
        <f>_xlfn.IFNA(IF(VLOOKUP(Patients!A195,Labs!$B$2:$D$201,3,FALSE)&gt;120,"High","Normal"),"Not Applicable")</f>
        <v>High</v>
      </c>
      <c r="N195" s="12" t="str">
        <f t="shared" si="13"/>
        <v>High Risk</v>
      </c>
    </row>
    <row r="196" spans="1:14" x14ac:dyDescent="0.2">
      <c r="A196" s="4">
        <v>195</v>
      </c>
      <c r="B196" s="10" t="s">
        <v>205</v>
      </c>
      <c r="C196" s="4">
        <v>44</v>
      </c>
      <c r="D196" s="10" t="s">
        <v>10</v>
      </c>
      <c r="E196" s="9">
        <v>8</v>
      </c>
      <c r="F196" s="5">
        <v>45690</v>
      </c>
      <c r="G196" s="5">
        <v>45767</v>
      </c>
      <c r="H196" s="4">
        <v>2</v>
      </c>
      <c r="I196" s="4">
        <v>9245</v>
      </c>
      <c r="J196" s="10" t="str">
        <f>VLOOKUP(E196,Diagnosis!$A$2:$B$11,2,FALSE)</f>
        <v>Arthritis</v>
      </c>
      <c r="K196" s="10" t="str">
        <f>VLOOKUP(H196,Outcomes!$A$2:$B$4,2,FALSE)</f>
        <v>Complicated</v>
      </c>
      <c r="L196" s="9">
        <f t="shared" si="12"/>
        <v>77</v>
      </c>
      <c r="M196" s="10" t="str">
        <f>_xlfn.IFNA(IF(VLOOKUP(Patients!A196,Labs!$B$2:$D$201,3,FALSE)&gt;120,"High","Normal"),"Not Applicable")</f>
        <v>High</v>
      </c>
      <c r="N196" s="12" t="str">
        <f t="shared" si="13"/>
        <v>Low Risk</v>
      </c>
    </row>
    <row r="197" spans="1:14" x14ac:dyDescent="0.2">
      <c r="A197" s="4">
        <v>196</v>
      </c>
      <c r="B197" s="10" t="s">
        <v>206</v>
      </c>
      <c r="C197" s="4">
        <v>72</v>
      </c>
      <c r="D197" s="10" t="s">
        <v>10</v>
      </c>
      <c r="E197" s="9">
        <v>10</v>
      </c>
      <c r="F197" s="5">
        <v>45775</v>
      </c>
      <c r="G197" s="5">
        <v>45779</v>
      </c>
      <c r="H197" s="4">
        <v>3</v>
      </c>
      <c r="I197" s="4">
        <v>3311</v>
      </c>
      <c r="J197" s="10" t="str">
        <f>VLOOKUP(E197,Diagnosis!$A$2:$B$11,2,FALSE)</f>
        <v>Liver Disease</v>
      </c>
      <c r="K197" s="10" t="str">
        <f>VLOOKUP(H197,Outcomes!$A$2:$B$4,2,FALSE)</f>
        <v>Deceased</v>
      </c>
      <c r="L197" s="9">
        <f t="shared" si="12"/>
        <v>4</v>
      </c>
      <c r="M197" s="10" t="str">
        <f>_xlfn.IFNA(IF(VLOOKUP(Patients!A197,Labs!$B$2:$D$201,3,FALSE)&gt;120,"High","Normal"),"Not Applicable")</f>
        <v>Normal</v>
      </c>
      <c r="N197" s="12" t="str">
        <f t="shared" si="13"/>
        <v>High Risk</v>
      </c>
    </row>
    <row r="198" spans="1:14" x14ac:dyDescent="0.2">
      <c r="A198" s="4">
        <v>197</v>
      </c>
      <c r="B198" s="10" t="s">
        <v>207</v>
      </c>
      <c r="C198" s="4">
        <v>58</v>
      </c>
      <c r="D198" s="10" t="s">
        <v>10</v>
      </c>
      <c r="E198" s="9">
        <v>2</v>
      </c>
      <c r="F198" s="5">
        <v>45722</v>
      </c>
      <c r="G198" s="5">
        <v>45846</v>
      </c>
      <c r="H198" s="4">
        <v>3</v>
      </c>
      <c r="I198" s="4">
        <v>5191</v>
      </c>
      <c r="J198" s="10" t="str">
        <f>VLOOKUP(E198,Diagnosis!$A$2:$B$11,2,FALSE)</f>
        <v>Diabetes</v>
      </c>
      <c r="K198" s="10" t="str">
        <f>VLOOKUP(H198,Outcomes!$A$2:$B$4,2,FALSE)</f>
        <v>Deceased</v>
      </c>
      <c r="L198" s="9">
        <f t="shared" si="12"/>
        <v>124</v>
      </c>
      <c r="M198" s="10" t="str">
        <f>_xlfn.IFNA(IF(VLOOKUP(Patients!A198,Labs!$B$2:$D$201,3,FALSE)&gt;120,"High","Normal"),"Not Applicable")</f>
        <v>High</v>
      </c>
      <c r="N198" s="12" t="str">
        <f t="shared" si="13"/>
        <v>Low Risk</v>
      </c>
    </row>
    <row r="199" spans="1:14" x14ac:dyDescent="0.2">
      <c r="A199" s="4">
        <v>198</v>
      </c>
      <c r="B199" s="10" t="s">
        <v>208</v>
      </c>
      <c r="C199" s="4">
        <v>65</v>
      </c>
      <c r="D199" s="10" t="s">
        <v>10</v>
      </c>
      <c r="E199" s="9">
        <v>3</v>
      </c>
      <c r="F199" s="5">
        <v>45803</v>
      </c>
      <c r="G199" s="5">
        <v>45812</v>
      </c>
      <c r="H199" s="4">
        <v>2</v>
      </c>
      <c r="I199" s="4">
        <v>8957</v>
      </c>
      <c r="J199" s="10" t="str">
        <f>VLOOKUP(E199,Diagnosis!$A$2:$B$11,2,FALSE)</f>
        <v>Heart Disease</v>
      </c>
      <c r="K199" s="10" t="str">
        <f>VLOOKUP(H199,Outcomes!$A$2:$B$4,2,FALSE)</f>
        <v>Complicated</v>
      </c>
      <c r="L199" s="9">
        <f t="shared" si="12"/>
        <v>9</v>
      </c>
      <c r="M199" s="10" t="str">
        <f>_xlfn.IFNA(IF(VLOOKUP(Patients!A199,Labs!$B$2:$D$201,3,FALSE)&gt;120,"High","Normal"),"Not Applicable")</f>
        <v>High</v>
      </c>
      <c r="N199" s="12" t="str">
        <f t="shared" si="13"/>
        <v>Low Risk</v>
      </c>
    </row>
    <row r="200" spans="1:14" x14ac:dyDescent="0.2">
      <c r="A200" s="4">
        <v>199</v>
      </c>
      <c r="B200" s="10" t="s">
        <v>209</v>
      </c>
      <c r="C200" s="4">
        <v>42</v>
      </c>
      <c r="D200" s="10" t="s">
        <v>14</v>
      </c>
      <c r="E200" s="9">
        <v>2</v>
      </c>
      <c r="F200" s="5">
        <v>45834</v>
      </c>
      <c r="G200" s="5">
        <v>45843</v>
      </c>
      <c r="H200" s="4">
        <v>2</v>
      </c>
      <c r="I200" s="4">
        <v>4538</v>
      </c>
      <c r="J200" s="10" t="str">
        <f>VLOOKUP(E200,Diagnosis!$A$2:$B$11,2,FALSE)</f>
        <v>Diabetes</v>
      </c>
      <c r="K200" s="10" t="str">
        <f>VLOOKUP(H200,Outcomes!$A$2:$B$4,2,FALSE)</f>
        <v>Complicated</v>
      </c>
      <c r="L200" s="9">
        <f t="shared" si="12"/>
        <v>9</v>
      </c>
      <c r="M200" s="10" t="str">
        <f>_xlfn.IFNA(IF(VLOOKUP(Patients!A200,Labs!$B$2:$D$201,3,FALSE)&gt;120,"High","Normal"),"Not Applicable")</f>
        <v>High</v>
      </c>
      <c r="N200" s="12" t="str">
        <f t="shared" si="13"/>
        <v>Low Risk</v>
      </c>
    </row>
    <row r="201" spans="1:14" x14ac:dyDescent="0.2">
      <c r="A201" s="4">
        <v>200</v>
      </c>
      <c r="B201" s="10" t="s">
        <v>210</v>
      </c>
      <c r="C201" s="4">
        <v>61</v>
      </c>
      <c r="D201" s="10" t="s">
        <v>14</v>
      </c>
      <c r="E201" s="9">
        <v>3</v>
      </c>
      <c r="F201" s="5">
        <v>45668</v>
      </c>
      <c r="G201" s="5">
        <v>45725</v>
      </c>
      <c r="H201" s="4">
        <v>3</v>
      </c>
      <c r="I201" s="4">
        <v>5983</v>
      </c>
      <c r="J201" s="10" t="str">
        <f>VLOOKUP(E201,Diagnosis!$A$2:$B$11,2,FALSE)</f>
        <v>Heart Disease</v>
      </c>
      <c r="K201" s="10" t="str">
        <f>VLOOKUP(H201,Outcomes!$A$2:$B$4,2,FALSE)</f>
        <v>Deceased</v>
      </c>
      <c r="L201" s="9">
        <f t="shared" si="12"/>
        <v>57</v>
      </c>
      <c r="M201" s="10" t="str">
        <f>_xlfn.IFNA(IF(VLOOKUP(Patients!A201,Labs!$B$2:$D$201,3,FALSE)&gt;120,"High","Normal"),"Not Applicable")</f>
        <v>Normal</v>
      </c>
      <c r="N201" s="12" t="str">
        <f t="shared" si="13"/>
        <v>Low Risk</v>
      </c>
    </row>
    <row r="202" spans="1:14" x14ac:dyDescent="0.2">
      <c r="M202" s="1"/>
    </row>
    <row r="203" spans="1:14" x14ac:dyDescent="0.2">
      <c r="M203" s="1"/>
    </row>
    <row r="204" spans="1:14" x14ac:dyDescent="0.2">
      <c r="M204" s="1"/>
    </row>
    <row r="205" spans="1:14" x14ac:dyDescent="0.2">
      <c r="M205" s="1"/>
    </row>
    <row r="206" spans="1:14" x14ac:dyDescent="0.2">
      <c r="M206" s="1"/>
    </row>
    <row r="207" spans="1:14" x14ac:dyDescent="0.2">
      <c r="M207" s="1"/>
    </row>
    <row r="208" spans="1:14" x14ac:dyDescent="0.2">
      <c r="M208" s="1"/>
    </row>
    <row r="209" spans="13:13" x14ac:dyDescent="0.2">
      <c r="M209" s="1"/>
    </row>
    <row r="210" spans="13:13" x14ac:dyDescent="0.2">
      <c r="M210" s="1"/>
    </row>
    <row r="211" spans="13:13" x14ac:dyDescent="0.2">
      <c r="M211" s="1"/>
    </row>
    <row r="212" spans="13:13" x14ac:dyDescent="0.2">
      <c r="M212" s="1"/>
    </row>
    <row r="213" spans="13:13" x14ac:dyDescent="0.2">
      <c r="M213" s="1"/>
    </row>
    <row r="214" spans="13:13" x14ac:dyDescent="0.2">
      <c r="M214" s="1"/>
    </row>
    <row r="215" spans="13:13" x14ac:dyDescent="0.2">
      <c r="M215" s="1"/>
    </row>
    <row r="216" spans="13:13" x14ac:dyDescent="0.2">
      <c r="M216" s="1"/>
    </row>
    <row r="217" spans="13:13" x14ac:dyDescent="0.2">
      <c r="M217" s="1"/>
    </row>
    <row r="218" spans="13:13" x14ac:dyDescent="0.2">
      <c r="M218" s="1"/>
    </row>
    <row r="219" spans="13:13" x14ac:dyDescent="0.2">
      <c r="M219" s="1"/>
    </row>
    <row r="220" spans="13:13" x14ac:dyDescent="0.2">
      <c r="M220" s="1"/>
    </row>
    <row r="221" spans="13:13" x14ac:dyDescent="0.2">
      <c r="M221" s="1"/>
    </row>
    <row r="222" spans="13:13" x14ac:dyDescent="0.2">
      <c r="M222" s="1"/>
    </row>
    <row r="223" spans="13:13" x14ac:dyDescent="0.2">
      <c r="M223" s="1"/>
    </row>
    <row r="224" spans="13:13" x14ac:dyDescent="0.2">
      <c r="M224" s="1"/>
    </row>
    <row r="225" spans="13:13" x14ac:dyDescent="0.2">
      <c r="M225" s="1"/>
    </row>
    <row r="226" spans="13:13" x14ac:dyDescent="0.2">
      <c r="M226" s="1"/>
    </row>
    <row r="227" spans="13:13" x14ac:dyDescent="0.2">
      <c r="M227" s="1"/>
    </row>
    <row r="228" spans="13:13" x14ac:dyDescent="0.2">
      <c r="M228" s="1"/>
    </row>
    <row r="229" spans="13:13" x14ac:dyDescent="0.2">
      <c r="M229" s="1"/>
    </row>
    <row r="230" spans="13:13" x14ac:dyDescent="0.2">
      <c r="M230" s="1"/>
    </row>
    <row r="231" spans="13:13" x14ac:dyDescent="0.2">
      <c r="M231" s="1"/>
    </row>
    <row r="232" spans="13:13" x14ac:dyDescent="0.2">
      <c r="M232" s="1"/>
    </row>
    <row r="233" spans="13:13" x14ac:dyDescent="0.2">
      <c r="M233" s="1"/>
    </row>
    <row r="234" spans="13:13" x14ac:dyDescent="0.2">
      <c r="M234" s="1"/>
    </row>
    <row r="235" spans="13:13" x14ac:dyDescent="0.2">
      <c r="M235" s="1"/>
    </row>
    <row r="236" spans="13:13" x14ac:dyDescent="0.2">
      <c r="M236" s="1"/>
    </row>
    <row r="237" spans="13:13" x14ac:dyDescent="0.2">
      <c r="M237" s="1"/>
    </row>
    <row r="238" spans="13:13" x14ac:dyDescent="0.2">
      <c r="M238" s="1"/>
    </row>
    <row r="239" spans="13:13" x14ac:dyDescent="0.2">
      <c r="M239" s="1"/>
    </row>
    <row r="240" spans="13:13" x14ac:dyDescent="0.2">
      <c r="M240" s="1"/>
    </row>
    <row r="241" spans="13:13" x14ac:dyDescent="0.2">
      <c r="M241" s="1"/>
    </row>
    <row r="242" spans="13:13" x14ac:dyDescent="0.2">
      <c r="M242" s="1"/>
    </row>
    <row r="243" spans="13:13" x14ac:dyDescent="0.2">
      <c r="M243" s="1"/>
    </row>
    <row r="244" spans="13:13" x14ac:dyDescent="0.2">
      <c r="M244" s="1"/>
    </row>
    <row r="245" spans="13:13" x14ac:dyDescent="0.2">
      <c r="M245" s="1"/>
    </row>
    <row r="246" spans="13:13" x14ac:dyDescent="0.2">
      <c r="M246" s="1"/>
    </row>
    <row r="247" spans="13:13" x14ac:dyDescent="0.2">
      <c r="M247" s="1"/>
    </row>
    <row r="248" spans="13:13" x14ac:dyDescent="0.2">
      <c r="M248" s="1"/>
    </row>
    <row r="249" spans="13:13" x14ac:dyDescent="0.2">
      <c r="M249" s="1"/>
    </row>
    <row r="250" spans="13:13" x14ac:dyDescent="0.2">
      <c r="M250" s="1"/>
    </row>
    <row r="251" spans="13:13" x14ac:dyDescent="0.2">
      <c r="M251" s="1"/>
    </row>
    <row r="252" spans="13:13" x14ac:dyDescent="0.2">
      <c r="M252" s="1"/>
    </row>
    <row r="253" spans="13:13" x14ac:dyDescent="0.2">
      <c r="M253" s="1"/>
    </row>
    <row r="254" spans="13:13" x14ac:dyDescent="0.2">
      <c r="M254" s="1"/>
    </row>
    <row r="255" spans="13:13" x14ac:dyDescent="0.2">
      <c r="M255" s="1"/>
    </row>
    <row r="256" spans="13:13" x14ac:dyDescent="0.2">
      <c r="M256" s="1"/>
    </row>
    <row r="257" spans="13:13" x14ac:dyDescent="0.2">
      <c r="M257" s="1"/>
    </row>
    <row r="258" spans="13:13" x14ac:dyDescent="0.2">
      <c r="M258" s="1"/>
    </row>
    <row r="259" spans="13:13" x14ac:dyDescent="0.2">
      <c r="M259" s="1"/>
    </row>
    <row r="260" spans="13:13" x14ac:dyDescent="0.2">
      <c r="M260" s="1"/>
    </row>
    <row r="261" spans="13:13" x14ac:dyDescent="0.2">
      <c r="M261" s="1"/>
    </row>
    <row r="262" spans="13:13" x14ac:dyDescent="0.2">
      <c r="M262" s="1"/>
    </row>
    <row r="263" spans="13:13" x14ac:dyDescent="0.2">
      <c r="M263" s="1"/>
    </row>
    <row r="264" spans="13:13" x14ac:dyDescent="0.2">
      <c r="M264" s="1"/>
    </row>
    <row r="265" spans="13:13" x14ac:dyDescent="0.2">
      <c r="M265" s="1"/>
    </row>
    <row r="266" spans="13:13" x14ac:dyDescent="0.2">
      <c r="M266" s="1"/>
    </row>
    <row r="267" spans="13:13" x14ac:dyDescent="0.2">
      <c r="M267" s="1"/>
    </row>
    <row r="268" spans="13:13" x14ac:dyDescent="0.2">
      <c r="M268" s="1"/>
    </row>
    <row r="269" spans="13:13" x14ac:dyDescent="0.2">
      <c r="M269" s="1"/>
    </row>
    <row r="270" spans="13:13" x14ac:dyDescent="0.2">
      <c r="M270" s="1"/>
    </row>
    <row r="271" spans="13:13" x14ac:dyDescent="0.2">
      <c r="M271" s="1"/>
    </row>
    <row r="272" spans="13:13" x14ac:dyDescent="0.2">
      <c r="M272" s="1"/>
    </row>
    <row r="273" spans="13:13" x14ac:dyDescent="0.2">
      <c r="M273" s="1"/>
    </row>
    <row r="274" spans="13:13" x14ac:dyDescent="0.2">
      <c r="M274" s="1"/>
    </row>
    <row r="275" spans="13:13" x14ac:dyDescent="0.2">
      <c r="M275" s="1"/>
    </row>
    <row r="276" spans="13:13" x14ac:dyDescent="0.2">
      <c r="M276" s="1"/>
    </row>
    <row r="277" spans="13:13" x14ac:dyDescent="0.2">
      <c r="M277" s="1"/>
    </row>
    <row r="278" spans="13:13" x14ac:dyDescent="0.2">
      <c r="M278" s="1"/>
    </row>
    <row r="279" spans="13:13" x14ac:dyDescent="0.2">
      <c r="M279" s="1"/>
    </row>
    <row r="280" spans="13:13" x14ac:dyDescent="0.2">
      <c r="M280" s="1"/>
    </row>
    <row r="281" spans="13:13" x14ac:dyDescent="0.2">
      <c r="M281" s="1"/>
    </row>
    <row r="282" spans="13:13" x14ac:dyDescent="0.2">
      <c r="M282" s="1"/>
    </row>
    <row r="283" spans="13:13" x14ac:dyDescent="0.2">
      <c r="M283" s="1"/>
    </row>
  </sheetData>
  <autoFilter ref="A1:N201" xr:uid="{B3141111-41E0-8440-9ECD-3888881094BE}"/>
  <conditionalFormatting sqref="N2:N1048576">
    <cfRule type="containsText" dxfId="14" priority="16" operator="containsText" text="High Risk">
      <formula>NOT(ISERROR(SEARCH("High Risk",N2)))</formula>
    </cfRule>
    <cfRule type="containsText" dxfId="13" priority="15" operator="containsText" text="Low Risk">
      <formula>NOT(ISERROR(SEARCH("Low Risk",N2)))</formula>
    </cfRule>
    <cfRule type="containsText" dxfId="12" priority="14" operator="containsText" text="High Risk">
      <formula>NOT(ISERROR(SEARCH("High Risk",N2)))</formula>
    </cfRule>
  </conditionalFormatting>
  <conditionalFormatting sqref="K2:K1048576">
    <cfRule type="containsText" dxfId="11" priority="13" operator="containsText" text="Deceased">
      <formula>NOT(ISERROR(SEARCH("Deceased",K2)))</formula>
    </cfRule>
    <cfRule type="cellIs" dxfId="10" priority="12" operator="equal">
      <formula>"Recovered"</formula>
    </cfRule>
    <cfRule type="containsText" dxfId="9" priority="11" operator="containsText" text="Complicated">
      <formula>NOT(ISERROR(SEARCH("Complicated",K2)))</formula>
    </cfRule>
  </conditionalFormatting>
  <conditionalFormatting sqref="L2:L201">
    <cfRule type="cellIs" dxfId="8" priority="10" operator="lessThan">
      <formula>7</formula>
    </cfRule>
    <cfRule type="cellIs" dxfId="7" priority="9" operator="between">
      <formula>7</formula>
      <formula>30</formula>
    </cfRule>
    <cfRule type="cellIs" dxfId="6" priority="8" operator="greaterThan">
      <formula>30</formula>
    </cfRule>
  </conditionalFormatting>
  <conditionalFormatting sqref="I2:I20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{070E7BA7-F5DE-C046-9AB1-4DCDD411263B}</x14:id>
        </ext>
      </extLst>
    </cfRule>
  </conditionalFormatting>
  <conditionalFormatting sqref="M2:M1048576">
    <cfRule type="containsText" dxfId="1" priority="2" operator="containsText" text="High">
      <formula>NOT(ISERROR(SEARCH("High",M2)))</formula>
    </cfRule>
    <cfRule type="containsText" dxfId="0" priority="1" operator="containsText" text="Normal">
      <formula>NOT(ISERROR(SEARCH("Normal",M2)))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0E7BA7-F5DE-C046-9AB1-4DCDD4112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I2:I201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F285-2A34-6E46-8520-B3EFCE9565F9}">
  <dimension ref="A1:E201"/>
  <sheetViews>
    <sheetView zoomScale="125" zoomScaleNormal="125" workbookViewId="0">
      <selection activeCell="A4" sqref="A4"/>
    </sheetView>
  </sheetViews>
  <sheetFormatPr baseColWidth="10" defaultRowHeight="16" x14ac:dyDescent="0.2"/>
  <cols>
    <col min="1" max="1" width="8.33203125" bestFit="1" customWidth="1"/>
    <col min="2" max="2" width="11.33203125" bestFit="1" customWidth="1"/>
    <col min="3" max="3" width="13.33203125" bestFit="1" customWidth="1"/>
    <col min="4" max="4" width="8.83203125" bestFit="1" customWidth="1"/>
    <col min="5" max="5" width="14.6640625" bestFit="1" customWidth="1"/>
  </cols>
  <sheetData>
    <row r="1" spans="1:5" x14ac:dyDescent="0.2">
      <c r="A1" s="7" t="s">
        <v>211</v>
      </c>
      <c r="B1" s="7" t="s">
        <v>0</v>
      </c>
      <c r="C1" s="7" t="s">
        <v>212</v>
      </c>
      <c r="D1" s="7" t="s">
        <v>213</v>
      </c>
      <c r="E1" s="7" t="s">
        <v>214</v>
      </c>
    </row>
    <row r="2" spans="1:5" x14ac:dyDescent="0.2">
      <c r="A2" s="15">
        <v>1</v>
      </c>
      <c r="B2" s="15">
        <v>196</v>
      </c>
      <c r="C2" s="15" t="s">
        <v>215</v>
      </c>
      <c r="D2" s="15">
        <v>89.7</v>
      </c>
      <c r="E2" s="15" t="s">
        <v>216</v>
      </c>
    </row>
    <row r="3" spans="1:5" x14ac:dyDescent="0.2">
      <c r="A3" s="15">
        <v>2</v>
      </c>
      <c r="B3" s="15">
        <v>165</v>
      </c>
      <c r="C3" s="15" t="s">
        <v>217</v>
      </c>
      <c r="D3" s="15">
        <v>270.2</v>
      </c>
      <c r="E3" s="15" t="s">
        <v>218</v>
      </c>
    </row>
    <row r="4" spans="1:5" x14ac:dyDescent="0.2">
      <c r="A4" s="15">
        <v>3</v>
      </c>
      <c r="B4" s="15">
        <v>182</v>
      </c>
      <c r="C4" s="15" t="s">
        <v>215</v>
      </c>
      <c r="D4" s="15">
        <v>268</v>
      </c>
      <c r="E4" s="15" t="s">
        <v>219</v>
      </c>
    </row>
    <row r="5" spans="1:5" x14ac:dyDescent="0.2">
      <c r="A5" s="15">
        <v>4</v>
      </c>
      <c r="B5" s="15">
        <v>142</v>
      </c>
      <c r="C5" s="15" t="s">
        <v>217</v>
      </c>
      <c r="D5" s="15">
        <v>57.3</v>
      </c>
      <c r="E5" s="15" t="s">
        <v>216</v>
      </c>
    </row>
    <row r="6" spans="1:5" x14ac:dyDescent="0.2">
      <c r="A6" s="15">
        <v>5</v>
      </c>
      <c r="B6" s="15">
        <v>55</v>
      </c>
      <c r="C6" s="15" t="s">
        <v>220</v>
      </c>
      <c r="D6" s="15">
        <v>256.5</v>
      </c>
      <c r="E6" s="15" t="s">
        <v>221</v>
      </c>
    </row>
    <row r="7" spans="1:5" x14ac:dyDescent="0.2">
      <c r="A7" s="15">
        <v>6</v>
      </c>
      <c r="B7" s="15">
        <v>176</v>
      </c>
      <c r="C7" s="15" t="s">
        <v>222</v>
      </c>
      <c r="D7" s="15">
        <v>82.2</v>
      </c>
      <c r="E7" s="15" t="s">
        <v>221</v>
      </c>
    </row>
    <row r="8" spans="1:5" x14ac:dyDescent="0.2">
      <c r="A8" s="15">
        <v>7</v>
      </c>
      <c r="B8" s="15">
        <v>7</v>
      </c>
      <c r="C8" s="15" t="s">
        <v>215</v>
      </c>
      <c r="D8" s="15">
        <v>133.80000000000001</v>
      </c>
      <c r="E8" s="15" t="s">
        <v>216</v>
      </c>
    </row>
    <row r="9" spans="1:5" x14ac:dyDescent="0.2">
      <c r="A9" s="15">
        <v>8</v>
      </c>
      <c r="B9" s="15">
        <v>74</v>
      </c>
      <c r="C9" s="15" t="s">
        <v>223</v>
      </c>
      <c r="D9" s="15">
        <v>235.9</v>
      </c>
      <c r="E9" s="15" t="s">
        <v>219</v>
      </c>
    </row>
    <row r="10" spans="1:5" x14ac:dyDescent="0.2">
      <c r="A10" s="15">
        <v>9</v>
      </c>
      <c r="B10" s="15">
        <v>7</v>
      </c>
      <c r="C10" s="15" t="s">
        <v>223</v>
      </c>
      <c r="D10" s="15">
        <v>90.2</v>
      </c>
      <c r="E10" s="15" t="s">
        <v>224</v>
      </c>
    </row>
    <row r="11" spans="1:5" x14ac:dyDescent="0.2">
      <c r="A11" s="15">
        <v>10</v>
      </c>
      <c r="B11" s="15">
        <v>161</v>
      </c>
      <c r="C11" s="15" t="s">
        <v>225</v>
      </c>
      <c r="D11" s="15">
        <v>254.5</v>
      </c>
      <c r="E11" s="15" t="s">
        <v>218</v>
      </c>
    </row>
    <row r="12" spans="1:5" x14ac:dyDescent="0.2">
      <c r="A12" s="15">
        <v>11</v>
      </c>
      <c r="B12" s="15">
        <v>151</v>
      </c>
      <c r="C12" s="15" t="s">
        <v>217</v>
      </c>
      <c r="D12" s="15">
        <v>258</v>
      </c>
      <c r="E12" s="15" t="s">
        <v>221</v>
      </c>
    </row>
    <row r="13" spans="1:5" x14ac:dyDescent="0.2">
      <c r="A13" s="15">
        <v>12</v>
      </c>
      <c r="B13" s="15">
        <v>85</v>
      </c>
      <c r="C13" s="15" t="s">
        <v>215</v>
      </c>
      <c r="D13" s="15">
        <v>176.9</v>
      </c>
      <c r="E13" s="15" t="s">
        <v>224</v>
      </c>
    </row>
    <row r="14" spans="1:5" x14ac:dyDescent="0.2">
      <c r="A14" s="15">
        <v>13</v>
      </c>
      <c r="B14" s="15">
        <v>147</v>
      </c>
      <c r="C14" s="15" t="s">
        <v>225</v>
      </c>
      <c r="D14" s="15">
        <v>51.6</v>
      </c>
      <c r="E14" s="15" t="s">
        <v>216</v>
      </c>
    </row>
    <row r="15" spans="1:5" x14ac:dyDescent="0.2">
      <c r="A15" s="15">
        <v>14</v>
      </c>
      <c r="B15" s="15">
        <v>112</v>
      </c>
      <c r="C15" s="15" t="s">
        <v>215</v>
      </c>
      <c r="D15" s="15">
        <v>121.8</v>
      </c>
      <c r="E15" s="15" t="s">
        <v>224</v>
      </c>
    </row>
    <row r="16" spans="1:5" x14ac:dyDescent="0.2">
      <c r="A16" s="15">
        <v>15</v>
      </c>
      <c r="B16" s="15">
        <v>125</v>
      </c>
      <c r="C16" s="15" t="s">
        <v>217</v>
      </c>
      <c r="D16" s="15">
        <v>204.2</v>
      </c>
      <c r="E16" s="15" t="s">
        <v>226</v>
      </c>
    </row>
    <row r="17" spans="1:5" x14ac:dyDescent="0.2">
      <c r="A17" s="15">
        <v>16</v>
      </c>
      <c r="B17" s="15">
        <v>147</v>
      </c>
      <c r="C17" s="15" t="s">
        <v>223</v>
      </c>
      <c r="D17" s="15">
        <v>295.3</v>
      </c>
      <c r="E17" s="15" t="s">
        <v>221</v>
      </c>
    </row>
    <row r="18" spans="1:5" x14ac:dyDescent="0.2">
      <c r="A18" s="15">
        <v>17</v>
      </c>
      <c r="B18" s="15">
        <v>36</v>
      </c>
      <c r="C18" s="15" t="s">
        <v>220</v>
      </c>
      <c r="D18" s="15">
        <v>208</v>
      </c>
      <c r="E18" s="15" t="s">
        <v>216</v>
      </c>
    </row>
    <row r="19" spans="1:5" x14ac:dyDescent="0.2">
      <c r="A19" s="15">
        <v>18</v>
      </c>
      <c r="B19" s="15">
        <v>29</v>
      </c>
      <c r="C19" s="15" t="s">
        <v>223</v>
      </c>
      <c r="D19" s="15">
        <v>115</v>
      </c>
      <c r="E19" s="15" t="s">
        <v>218</v>
      </c>
    </row>
    <row r="20" spans="1:5" x14ac:dyDescent="0.2">
      <c r="A20" s="15">
        <v>19</v>
      </c>
      <c r="B20" s="15">
        <v>188</v>
      </c>
      <c r="C20" s="15" t="s">
        <v>225</v>
      </c>
      <c r="D20" s="15">
        <v>208.5</v>
      </c>
      <c r="E20" s="15" t="s">
        <v>219</v>
      </c>
    </row>
    <row r="21" spans="1:5" x14ac:dyDescent="0.2">
      <c r="A21" s="15">
        <v>20</v>
      </c>
      <c r="B21" s="15">
        <v>82</v>
      </c>
      <c r="C21" s="15" t="s">
        <v>222</v>
      </c>
      <c r="D21" s="15">
        <v>185</v>
      </c>
      <c r="E21" s="15" t="s">
        <v>216</v>
      </c>
    </row>
    <row r="22" spans="1:5" x14ac:dyDescent="0.2">
      <c r="A22" s="15">
        <v>21</v>
      </c>
      <c r="B22" s="15">
        <v>2</v>
      </c>
      <c r="C22" s="15" t="s">
        <v>220</v>
      </c>
      <c r="D22" s="15">
        <v>245</v>
      </c>
      <c r="E22" s="15" t="s">
        <v>218</v>
      </c>
    </row>
    <row r="23" spans="1:5" x14ac:dyDescent="0.2">
      <c r="A23" s="15">
        <v>22</v>
      </c>
      <c r="B23" s="15">
        <v>129</v>
      </c>
      <c r="C23" s="15" t="s">
        <v>225</v>
      </c>
      <c r="D23" s="15">
        <v>76.7</v>
      </c>
      <c r="E23" s="15" t="s">
        <v>219</v>
      </c>
    </row>
    <row r="24" spans="1:5" x14ac:dyDescent="0.2">
      <c r="A24" s="15">
        <v>23</v>
      </c>
      <c r="B24" s="15">
        <v>47</v>
      </c>
      <c r="C24" s="15" t="s">
        <v>217</v>
      </c>
      <c r="D24" s="15">
        <v>240.3</v>
      </c>
      <c r="E24" s="15" t="s">
        <v>219</v>
      </c>
    </row>
    <row r="25" spans="1:5" x14ac:dyDescent="0.2">
      <c r="A25" s="15">
        <v>24</v>
      </c>
      <c r="B25" s="15">
        <v>197</v>
      </c>
      <c r="C25" s="15" t="s">
        <v>220</v>
      </c>
      <c r="D25" s="15">
        <v>185.3</v>
      </c>
      <c r="E25" s="15" t="s">
        <v>216</v>
      </c>
    </row>
    <row r="26" spans="1:5" x14ac:dyDescent="0.2">
      <c r="A26" s="15">
        <v>25</v>
      </c>
      <c r="B26" s="15">
        <v>148</v>
      </c>
      <c r="C26" s="15" t="s">
        <v>225</v>
      </c>
      <c r="D26" s="15">
        <v>290.7</v>
      </c>
      <c r="E26" s="15" t="s">
        <v>224</v>
      </c>
    </row>
    <row r="27" spans="1:5" x14ac:dyDescent="0.2">
      <c r="A27" s="15">
        <v>26</v>
      </c>
      <c r="B27" s="15">
        <v>11</v>
      </c>
      <c r="C27" s="15" t="s">
        <v>217</v>
      </c>
      <c r="D27" s="15">
        <v>135.5</v>
      </c>
      <c r="E27" s="15" t="s">
        <v>224</v>
      </c>
    </row>
    <row r="28" spans="1:5" x14ac:dyDescent="0.2">
      <c r="A28" s="15">
        <v>27</v>
      </c>
      <c r="B28" s="15">
        <v>130</v>
      </c>
      <c r="C28" s="15" t="s">
        <v>223</v>
      </c>
      <c r="D28" s="15">
        <v>208.2</v>
      </c>
      <c r="E28" s="15" t="s">
        <v>219</v>
      </c>
    </row>
    <row r="29" spans="1:5" x14ac:dyDescent="0.2">
      <c r="A29" s="15">
        <v>28</v>
      </c>
      <c r="B29" s="15">
        <v>195</v>
      </c>
      <c r="C29" s="15" t="s">
        <v>222</v>
      </c>
      <c r="D29" s="15">
        <v>283</v>
      </c>
      <c r="E29" s="15" t="s">
        <v>224</v>
      </c>
    </row>
    <row r="30" spans="1:5" x14ac:dyDescent="0.2">
      <c r="A30" s="15">
        <v>29</v>
      </c>
      <c r="B30" s="15">
        <v>119</v>
      </c>
      <c r="C30" s="15" t="s">
        <v>217</v>
      </c>
      <c r="D30" s="15">
        <v>75.599999999999994</v>
      </c>
      <c r="E30" s="15" t="s">
        <v>226</v>
      </c>
    </row>
    <row r="31" spans="1:5" x14ac:dyDescent="0.2">
      <c r="A31" s="15">
        <v>30</v>
      </c>
      <c r="B31" s="15">
        <v>140</v>
      </c>
      <c r="C31" s="15" t="s">
        <v>215</v>
      </c>
      <c r="D31" s="15">
        <v>284.3</v>
      </c>
      <c r="E31" s="15" t="s">
        <v>219</v>
      </c>
    </row>
    <row r="32" spans="1:5" x14ac:dyDescent="0.2">
      <c r="A32" s="15">
        <v>31</v>
      </c>
      <c r="B32" s="15">
        <v>20</v>
      </c>
      <c r="C32" s="15" t="s">
        <v>217</v>
      </c>
      <c r="D32" s="15">
        <v>222</v>
      </c>
      <c r="E32" s="15" t="s">
        <v>219</v>
      </c>
    </row>
    <row r="33" spans="1:5" x14ac:dyDescent="0.2">
      <c r="A33" s="15">
        <v>32</v>
      </c>
      <c r="B33" s="15">
        <v>5</v>
      </c>
      <c r="C33" s="15" t="s">
        <v>217</v>
      </c>
      <c r="D33" s="15">
        <v>67</v>
      </c>
      <c r="E33" s="15" t="s">
        <v>218</v>
      </c>
    </row>
    <row r="34" spans="1:5" x14ac:dyDescent="0.2">
      <c r="A34" s="15">
        <v>33</v>
      </c>
      <c r="B34" s="15">
        <v>37</v>
      </c>
      <c r="C34" s="15" t="s">
        <v>222</v>
      </c>
      <c r="D34" s="15">
        <v>125.2</v>
      </c>
      <c r="E34" s="15" t="s">
        <v>224</v>
      </c>
    </row>
    <row r="35" spans="1:5" x14ac:dyDescent="0.2">
      <c r="A35" s="15">
        <v>34</v>
      </c>
      <c r="B35" s="15">
        <v>166</v>
      </c>
      <c r="C35" s="15" t="s">
        <v>215</v>
      </c>
      <c r="D35" s="15">
        <v>227</v>
      </c>
      <c r="E35" s="15" t="s">
        <v>219</v>
      </c>
    </row>
    <row r="36" spans="1:5" x14ac:dyDescent="0.2">
      <c r="A36" s="15">
        <v>35</v>
      </c>
      <c r="B36" s="15">
        <v>137</v>
      </c>
      <c r="C36" s="15" t="s">
        <v>225</v>
      </c>
      <c r="D36" s="15">
        <v>66.8</v>
      </c>
      <c r="E36" s="15" t="s">
        <v>226</v>
      </c>
    </row>
    <row r="37" spans="1:5" x14ac:dyDescent="0.2">
      <c r="A37" s="15">
        <v>36</v>
      </c>
      <c r="B37" s="15">
        <v>53</v>
      </c>
      <c r="C37" s="15" t="s">
        <v>225</v>
      </c>
      <c r="D37" s="15">
        <v>195.5</v>
      </c>
      <c r="E37" s="15" t="s">
        <v>218</v>
      </c>
    </row>
    <row r="38" spans="1:5" x14ac:dyDescent="0.2">
      <c r="A38" s="15">
        <v>37</v>
      </c>
      <c r="B38" s="15">
        <v>172</v>
      </c>
      <c r="C38" s="15" t="s">
        <v>217</v>
      </c>
      <c r="D38" s="15">
        <v>136.5</v>
      </c>
      <c r="E38" s="15" t="s">
        <v>216</v>
      </c>
    </row>
    <row r="39" spans="1:5" x14ac:dyDescent="0.2">
      <c r="A39" s="15">
        <v>38</v>
      </c>
      <c r="B39" s="15">
        <v>99</v>
      </c>
      <c r="C39" s="15" t="s">
        <v>215</v>
      </c>
      <c r="D39" s="15">
        <v>205.2</v>
      </c>
      <c r="E39" s="15" t="s">
        <v>219</v>
      </c>
    </row>
    <row r="40" spans="1:5" x14ac:dyDescent="0.2">
      <c r="A40" s="15">
        <v>39</v>
      </c>
      <c r="B40" s="15">
        <v>86</v>
      </c>
      <c r="C40" s="15" t="s">
        <v>215</v>
      </c>
      <c r="D40" s="15">
        <v>61.4</v>
      </c>
      <c r="E40" s="15" t="s">
        <v>226</v>
      </c>
    </row>
    <row r="41" spans="1:5" x14ac:dyDescent="0.2">
      <c r="A41" s="15">
        <v>40</v>
      </c>
      <c r="B41" s="15">
        <v>108</v>
      </c>
      <c r="C41" s="15" t="s">
        <v>222</v>
      </c>
      <c r="D41" s="15">
        <v>267.89999999999998</v>
      </c>
      <c r="E41" s="15" t="s">
        <v>221</v>
      </c>
    </row>
    <row r="42" spans="1:5" x14ac:dyDescent="0.2">
      <c r="A42" s="15">
        <v>41</v>
      </c>
      <c r="B42" s="15">
        <v>24</v>
      </c>
      <c r="C42" s="15" t="s">
        <v>223</v>
      </c>
      <c r="D42" s="15">
        <v>293.39999999999998</v>
      </c>
      <c r="E42" s="15" t="s">
        <v>226</v>
      </c>
    </row>
    <row r="43" spans="1:5" x14ac:dyDescent="0.2">
      <c r="A43" s="15">
        <v>42</v>
      </c>
      <c r="B43" s="15">
        <v>81</v>
      </c>
      <c r="C43" s="15" t="s">
        <v>225</v>
      </c>
      <c r="D43" s="15">
        <v>292.2</v>
      </c>
      <c r="E43" s="15" t="s">
        <v>226</v>
      </c>
    </row>
    <row r="44" spans="1:5" x14ac:dyDescent="0.2">
      <c r="A44" s="15">
        <v>43</v>
      </c>
      <c r="B44" s="15">
        <v>158</v>
      </c>
      <c r="C44" s="15" t="s">
        <v>222</v>
      </c>
      <c r="D44" s="15">
        <v>237.4</v>
      </c>
      <c r="E44" s="15" t="s">
        <v>218</v>
      </c>
    </row>
    <row r="45" spans="1:5" x14ac:dyDescent="0.2">
      <c r="A45" s="15">
        <v>44</v>
      </c>
      <c r="B45" s="15">
        <v>120</v>
      </c>
      <c r="C45" s="15" t="s">
        <v>220</v>
      </c>
      <c r="D45" s="15">
        <v>82.5</v>
      </c>
      <c r="E45" s="15" t="s">
        <v>216</v>
      </c>
    </row>
    <row r="46" spans="1:5" x14ac:dyDescent="0.2">
      <c r="A46" s="15">
        <v>45</v>
      </c>
      <c r="B46" s="15">
        <v>59</v>
      </c>
      <c r="C46" s="15" t="s">
        <v>225</v>
      </c>
      <c r="D46" s="15">
        <v>239.6</v>
      </c>
      <c r="E46" s="15" t="s">
        <v>221</v>
      </c>
    </row>
    <row r="47" spans="1:5" x14ac:dyDescent="0.2">
      <c r="A47" s="15">
        <v>46</v>
      </c>
      <c r="B47" s="15">
        <v>128</v>
      </c>
      <c r="C47" s="15" t="s">
        <v>222</v>
      </c>
      <c r="D47" s="15">
        <v>56.1</v>
      </c>
      <c r="E47" s="15" t="s">
        <v>224</v>
      </c>
    </row>
    <row r="48" spans="1:5" x14ac:dyDescent="0.2">
      <c r="A48" s="15">
        <v>47</v>
      </c>
      <c r="B48" s="15">
        <v>114</v>
      </c>
      <c r="C48" s="15" t="s">
        <v>225</v>
      </c>
      <c r="D48" s="15">
        <v>55.5</v>
      </c>
      <c r="E48" s="15" t="s">
        <v>224</v>
      </c>
    </row>
    <row r="49" spans="1:5" x14ac:dyDescent="0.2">
      <c r="A49" s="15">
        <v>48</v>
      </c>
      <c r="B49" s="15">
        <v>115</v>
      </c>
      <c r="C49" s="15" t="s">
        <v>223</v>
      </c>
      <c r="D49" s="15">
        <v>130.9</v>
      </c>
      <c r="E49" s="15" t="s">
        <v>226</v>
      </c>
    </row>
    <row r="50" spans="1:5" x14ac:dyDescent="0.2">
      <c r="A50" s="15">
        <v>49</v>
      </c>
      <c r="B50" s="15">
        <v>14</v>
      </c>
      <c r="C50" s="15" t="s">
        <v>220</v>
      </c>
      <c r="D50" s="15">
        <v>172.2</v>
      </c>
      <c r="E50" s="15" t="s">
        <v>218</v>
      </c>
    </row>
    <row r="51" spans="1:5" x14ac:dyDescent="0.2">
      <c r="A51" s="15">
        <v>50</v>
      </c>
      <c r="B51" s="15">
        <v>9</v>
      </c>
      <c r="C51" s="15" t="s">
        <v>223</v>
      </c>
      <c r="D51" s="15">
        <v>242.6</v>
      </c>
      <c r="E51" s="15" t="s">
        <v>218</v>
      </c>
    </row>
    <row r="52" spans="1:5" x14ac:dyDescent="0.2">
      <c r="A52" s="15">
        <v>51</v>
      </c>
      <c r="B52" s="15">
        <v>40</v>
      </c>
      <c r="C52" s="15" t="s">
        <v>220</v>
      </c>
      <c r="D52" s="15">
        <v>220.8</v>
      </c>
      <c r="E52" s="15" t="s">
        <v>224</v>
      </c>
    </row>
    <row r="53" spans="1:5" x14ac:dyDescent="0.2">
      <c r="A53" s="15">
        <v>52</v>
      </c>
      <c r="B53" s="15">
        <v>194</v>
      </c>
      <c r="C53" s="15" t="s">
        <v>217</v>
      </c>
      <c r="D53" s="15">
        <v>161.5</v>
      </c>
      <c r="E53" s="15" t="s">
        <v>221</v>
      </c>
    </row>
    <row r="54" spans="1:5" x14ac:dyDescent="0.2">
      <c r="A54" s="15">
        <v>53</v>
      </c>
      <c r="B54" s="15">
        <v>25</v>
      </c>
      <c r="C54" s="15" t="s">
        <v>222</v>
      </c>
      <c r="D54" s="15">
        <v>118.4</v>
      </c>
      <c r="E54" s="15" t="s">
        <v>216</v>
      </c>
    </row>
    <row r="55" spans="1:5" x14ac:dyDescent="0.2">
      <c r="A55" s="15">
        <v>54</v>
      </c>
      <c r="B55" s="15">
        <v>103</v>
      </c>
      <c r="C55" s="15" t="s">
        <v>220</v>
      </c>
      <c r="D55" s="15">
        <v>299.3</v>
      </c>
      <c r="E55" s="15" t="s">
        <v>221</v>
      </c>
    </row>
    <row r="56" spans="1:5" x14ac:dyDescent="0.2">
      <c r="A56" s="15">
        <v>55</v>
      </c>
      <c r="B56" s="15">
        <v>22</v>
      </c>
      <c r="C56" s="15" t="s">
        <v>223</v>
      </c>
      <c r="D56" s="15">
        <v>156.5</v>
      </c>
      <c r="E56" s="15" t="s">
        <v>219</v>
      </c>
    </row>
    <row r="57" spans="1:5" x14ac:dyDescent="0.2">
      <c r="A57" s="15">
        <v>56</v>
      </c>
      <c r="B57" s="15">
        <v>4</v>
      </c>
      <c r="C57" s="15" t="s">
        <v>225</v>
      </c>
      <c r="D57" s="15">
        <v>162.80000000000001</v>
      </c>
      <c r="E57" s="15" t="s">
        <v>219</v>
      </c>
    </row>
    <row r="58" spans="1:5" x14ac:dyDescent="0.2">
      <c r="A58" s="15">
        <v>57</v>
      </c>
      <c r="B58" s="15">
        <v>154</v>
      </c>
      <c r="C58" s="15" t="s">
        <v>220</v>
      </c>
      <c r="D58" s="15">
        <v>90.9</v>
      </c>
      <c r="E58" s="15" t="s">
        <v>216</v>
      </c>
    </row>
    <row r="59" spans="1:5" x14ac:dyDescent="0.2">
      <c r="A59" s="15">
        <v>58</v>
      </c>
      <c r="B59" s="15">
        <v>186</v>
      </c>
      <c r="C59" s="15" t="s">
        <v>222</v>
      </c>
      <c r="D59" s="15">
        <v>248.7</v>
      </c>
      <c r="E59" s="15" t="s">
        <v>224</v>
      </c>
    </row>
    <row r="60" spans="1:5" x14ac:dyDescent="0.2">
      <c r="A60" s="15">
        <v>59</v>
      </c>
      <c r="B60" s="15">
        <v>29</v>
      </c>
      <c r="C60" s="15" t="s">
        <v>220</v>
      </c>
      <c r="D60" s="15">
        <v>223.4</v>
      </c>
      <c r="E60" s="15" t="s">
        <v>216</v>
      </c>
    </row>
    <row r="61" spans="1:5" x14ac:dyDescent="0.2">
      <c r="A61" s="15">
        <v>60</v>
      </c>
      <c r="B61" s="15">
        <v>109</v>
      </c>
      <c r="C61" s="15" t="s">
        <v>215</v>
      </c>
      <c r="D61" s="15">
        <v>105.2</v>
      </c>
      <c r="E61" s="15" t="s">
        <v>218</v>
      </c>
    </row>
    <row r="62" spans="1:5" x14ac:dyDescent="0.2">
      <c r="A62" s="15">
        <v>61</v>
      </c>
      <c r="B62" s="15">
        <v>98</v>
      </c>
      <c r="C62" s="15" t="s">
        <v>225</v>
      </c>
      <c r="D62" s="15">
        <v>70.599999999999994</v>
      </c>
      <c r="E62" s="15" t="s">
        <v>219</v>
      </c>
    </row>
    <row r="63" spans="1:5" x14ac:dyDescent="0.2">
      <c r="A63" s="15">
        <v>62</v>
      </c>
      <c r="B63" s="15">
        <v>37</v>
      </c>
      <c r="C63" s="15" t="s">
        <v>222</v>
      </c>
      <c r="D63" s="15">
        <v>220.1</v>
      </c>
      <c r="E63" s="15" t="s">
        <v>226</v>
      </c>
    </row>
    <row r="64" spans="1:5" x14ac:dyDescent="0.2">
      <c r="A64" s="15">
        <v>63</v>
      </c>
      <c r="B64" s="15">
        <v>75</v>
      </c>
      <c r="C64" s="15" t="s">
        <v>222</v>
      </c>
      <c r="D64" s="15">
        <v>213.6</v>
      </c>
      <c r="E64" s="15" t="s">
        <v>226</v>
      </c>
    </row>
    <row r="65" spans="1:5" x14ac:dyDescent="0.2">
      <c r="A65" s="15">
        <v>64</v>
      </c>
      <c r="B65" s="15">
        <v>70</v>
      </c>
      <c r="C65" s="15" t="s">
        <v>217</v>
      </c>
      <c r="D65" s="15">
        <v>118.3</v>
      </c>
      <c r="E65" s="15" t="s">
        <v>224</v>
      </c>
    </row>
    <row r="66" spans="1:5" x14ac:dyDescent="0.2">
      <c r="A66" s="15">
        <v>65</v>
      </c>
      <c r="B66" s="15">
        <v>146</v>
      </c>
      <c r="C66" s="15" t="s">
        <v>223</v>
      </c>
      <c r="D66" s="15">
        <v>287.7</v>
      </c>
      <c r="E66" s="15" t="s">
        <v>218</v>
      </c>
    </row>
    <row r="67" spans="1:5" x14ac:dyDescent="0.2">
      <c r="A67" s="15">
        <v>66</v>
      </c>
      <c r="B67" s="15">
        <v>128</v>
      </c>
      <c r="C67" s="15" t="s">
        <v>217</v>
      </c>
      <c r="D67" s="15">
        <v>87.8</v>
      </c>
      <c r="E67" s="15" t="s">
        <v>221</v>
      </c>
    </row>
    <row r="68" spans="1:5" x14ac:dyDescent="0.2">
      <c r="A68" s="15">
        <v>67</v>
      </c>
      <c r="B68" s="15">
        <v>85</v>
      </c>
      <c r="C68" s="15" t="s">
        <v>222</v>
      </c>
      <c r="D68" s="15">
        <v>158.1</v>
      </c>
      <c r="E68" s="15" t="s">
        <v>218</v>
      </c>
    </row>
    <row r="69" spans="1:5" x14ac:dyDescent="0.2">
      <c r="A69" s="15">
        <v>68</v>
      </c>
      <c r="B69" s="15">
        <v>42</v>
      </c>
      <c r="C69" s="15" t="s">
        <v>225</v>
      </c>
      <c r="D69" s="15">
        <v>285.89999999999998</v>
      </c>
      <c r="E69" s="15" t="s">
        <v>226</v>
      </c>
    </row>
    <row r="70" spans="1:5" x14ac:dyDescent="0.2">
      <c r="A70" s="15">
        <v>69</v>
      </c>
      <c r="B70" s="15">
        <v>100</v>
      </c>
      <c r="C70" s="15" t="s">
        <v>220</v>
      </c>
      <c r="D70" s="15">
        <v>154.9</v>
      </c>
      <c r="E70" s="15" t="s">
        <v>226</v>
      </c>
    </row>
    <row r="71" spans="1:5" x14ac:dyDescent="0.2">
      <c r="A71" s="15">
        <v>70</v>
      </c>
      <c r="B71" s="15">
        <v>41</v>
      </c>
      <c r="C71" s="15" t="s">
        <v>220</v>
      </c>
      <c r="D71" s="15">
        <v>209.6</v>
      </c>
      <c r="E71" s="15" t="s">
        <v>219</v>
      </c>
    </row>
    <row r="72" spans="1:5" x14ac:dyDescent="0.2">
      <c r="A72" s="15">
        <v>71</v>
      </c>
      <c r="B72" s="15">
        <v>166</v>
      </c>
      <c r="C72" s="15" t="s">
        <v>225</v>
      </c>
      <c r="D72" s="15">
        <v>149.4</v>
      </c>
      <c r="E72" s="15" t="s">
        <v>218</v>
      </c>
    </row>
    <row r="73" spans="1:5" x14ac:dyDescent="0.2">
      <c r="A73" s="15">
        <v>72</v>
      </c>
      <c r="B73" s="15">
        <v>34</v>
      </c>
      <c r="C73" s="15" t="s">
        <v>222</v>
      </c>
      <c r="D73" s="15">
        <v>118.6</v>
      </c>
      <c r="E73" s="15" t="s">
        <v>218</v>
      </c>
    </row>
    <row r="74" spans="1:5" x14ac:dyDescent="0.2">
      <c r="A74" s="15">
        <v>73</v>
      </c>
      <c r="B74" s="15">
        <v>17</v>
      </c>
      <c r="C74" s="15" t="s">
        <v>220</v>
      </c>
      <c r="D74" s="15">
        <v>296</v>
      </c>
      <c r="E74" s="15" t="s">
        <v>226</v>
      </c>
    </row>
    <row r="75" spans="1:5" x14ac:dyDescent="0.2">
      <c r="A75" s="15">
        <v>74</v>
      </c>
      <c r="B75" s="15">
        <v>165</v>
      </c>
      <c r="C75" s="15" t="s">
        <v>220</v>
      </c>
      <c r="D75" s="15">
        <v>152.30000000000001</v>
      </c>
      <c r="E75" s="15" t="s">
        <v>221</v>
      </c>
    </row>
    <row r="76" spans="1:5" x14ac:dyDescent="0.2">
      <c r="A76" s="15">
        <v>75</v>
      </c>
      <c r="B76" s="15">
        <v>153</v>
      </c>
      <c r="C76" s="15" t="s">
        <v>220</v>
      </c>
      <c r="D76" s="15">
        <v>273.5</v>
      </c>
      <c r="E76" s="15" t="s">
        <v>224</v>
      </c>
    </row>
    <row r="77" spans="1:5" x14ac:dyDescent="0.2">
      <c r="A77" s="15">
        <v>76</v>
      </c>
      <c r="B77" s="15">
        <v>122</v>
      </c>
      <c r="C77" s="15" t="s">
        <v>223</v>
      </c>
      <c r="D77" s="15">
        <v>107.5</v>
      </c>
      <c r="E77" s="15" t="s">
        <v>224</v>
      </c>
    </row>
    <row r="78" spans="1:5" x14ac:dyDescent="0.2">
      <c r="A78" s="15">
        <v>77</v>
      </c>
      <c r="B78" s="15">
        <v>76</v>
      </c>
      <c r="C78" s="15" t="s">
        <v>223</v>
      </c>
      <c r="D78" s="15">
        <v>103.3</v>
      </c>
      <c r="E78" s="15" t="s">
        <v>218</v>
      </c>
    </row>
    <row r="79" spans="1:5" x14ac:dyDescent="0.2">
      <c r="A79" s="15">
        <v>78</v>
      </c>
      <c r="B79" s="15">
        <v>87</v>
      </c>
      <c r="C79" s="15" t="s">
        <v>215</v>
      </c>
      <c r="D79" s="15">
        <v>57.8</v>
      </c>
      <c r="E79" s="15" t="s">
        <v>224</v>
      </c>
    </row>
    <row r="80" spans="1:5" x14ac:dyDescent="0.2">
      <c r="A80" s="15">
        <v>79</v>
      </c>
      <c r="B80" s="15">
        <v>117</v>
      </c>
      <c r="C80" s="15" t="s">
        <v>217</v>
      </c>
      <c r="D80" s="15">
        <v>212.9</v>
      </c>
      <c r="E80" s="15" t="s">
        <v>226</v>
      </c>
    </row>
    <row r="81" spans="1:5" x14ac:dyDescent="0.2">
      <c r="A81" s="15">
        <v>80</v>
      </c>
      <c r="B81" s="15">
        <v>106</v>
      </c>
      <c r="C81" s="15" t="s">
        <v>225</v>
      </c>
      <c r="D81" s="15">
        <v>142.1</v>
      </c>
      <c r="E81" s="15" t="s">
        <v>226</v>
      </c>
    </row>
    <row r="82" spans="1:5" x14ac:dyDescent="0.2">
      <c r="A82" s="15">
        <v>81</v>
      </c>
      <c r="B82" s="15">
        <v>86</v>
      </c>
      <c r="C82" s="15" t="s">
        <v>225</v>
      </c>
      <c r="D82" s="15">
        <v>266.10000000000002</v>
      </c>
      <c r="E82" s="15" t="s">
        <v>218</v>
      </c>
    </row>
    <row r="83" spans="1:5" x14ac:dyDescent="0.2">
      <c r="A83" s="15">
        <v>82</v>
      </c>
      <c r="B83" s="15">
        <v>27</v>
      </c>
      <c r="C83" s="15" t="s">
        <v>225</v>
      </c>
      <c r="D83" s="15">
        <v>168.3</v>
      </c>
      <c r="E83" s="15" t="s">
        <v>218</v>
      </c>
    </row>
    <row r="84" spans="1:5" x14ac:dyDescent="0.2">
      <c r="A84" s="15">
        <v>83</v>
      </c>
      <c r="B84" s="15">
        <v>57</v>
      </c>
      <c r="C84" s="15" t="s">
        <v>215</v>
      </c>
      <c r="D84" s="15">
        <v>292</v>
      </c>
      <c r="E84" s="15" t="s">
        <v>219</v>
      </c>
    </row>
    <row r="85" spans="1:5" x14ac:dyDescent="0.2">
      <c r="A85" s="15">
        <v>84</v>
      </c>
      <c r="B85" s="15">
        <v>31</v>
      </c>
      <c r="C85" s="15" t="s">
        <v>223</v>
      </c>
      <c r="D85" s="15">
        <v>96.4</v>
      </c>
      <c r="E85" s="15" t="s">
        <v>218</v>
      </c>
    </row>
    <row r="86" spans="1:5" x14ac:dyDescent="0.2">
      <c r="A86" s="15">
        <v>85</v>
      </c>
      <c r="B86" s="15">
        <v>134</v>
      </c>
      <c r="C86" s="15" t="s">
        <v>222</v>
      </c>
      <c r="D86" s="15">
        <v>267.2</v>
      </c>
      <c r="E86" s="15" t="s">
        <v>221</v>
      </c>
    </row>
    <row r="87" spans="1:5" x14ac:dyDescent="0.2">
      <c r="A87" s="15">
        <v>86</v>
      </c>
      <c r="B87" s="15">
        <v>168</v>
      </c>
      <c r="C87" s="15" t="s">
        <v>222</v>
      </c>
      <c r="D87" s="15">
        <v>244.1</v>
      </c>
      <c r="E87" s="15" t="s">
        <v>224</v>
      </c>
    </row>
    <row r="88" spans="1:5" x14ac:dyDescent="0.2">
      <c r="A88" s="15">
        <v>87</v>
      </c>
      <c r="B88" s="15">
        <v>98</v>
      </c>
      <c r="C88" s="15" t="s">
        <v>215</v>
      </c>
      <c r="D88" s="15">
        <v>242.7</v>
      </c>
      <c r="E88" s="15" t="s">
        <v>218</v>
      </c>
    </row>
    <row r="89" spans="1:5" x14ac:dyDescent="0.2">
      <c r="A89" s="15">
        <v>88</v>
      </c>
      <c r="B89" s="15">
        <v>12</v>
      </c>
      <c r="C89" s="15" t="s">
        <v>222</v>
      </c>
      <c r="D89" s="15">
        <v>261.2</v>
      </c>
      <c r="E89" s="15" t="s">
        <v>216</v>
      </c>
    </row>
    <row r="90" spans="1:5" x14ac:dyDescent="0.2">
      <c r="A90" s="15">
        <v>89</v>
      </c>
      <c r="B90" s="15">
        <v>53</v>
      </c>
      <c r="C90" s="15" t="s">
        <v>225</v>
      </c>
      <c r="D90" s="15">
        <v>240.3</v>
      </c>
      <c r="E90" s="15" t="s">
        <v>219</v>
      </c>
    </row>
    <row r="91" spans="1:5" x14ac:dyDescent="0.2">
      <c r="A91" s="15">
        <v>90</v>
      </c>
      <c r="B91" s="15">
        <v>199</v>
      </c>
      <c r="C91" s="15" t="s">
        <v>217</v>
      </c>
      <c r="D91" s="15">
        <v>206.6</v>
      </c>
      <c r="E91" s="15" t="s">
        <v>216</v>
      </c>
    </row>
    <row r="92" spans="1:5" x14ac:dyDescent="0.2">
      <c r="A92" s="15">
        <v>91</v>
      </c>
      <c r="B92" s="15">
        <v>138</v>
      </c>
      <c r="C92" s="15" t="s">
        <v>220</v>
      </c>
      <c r="D92" s="15">
        <v>82.8</v>
      </c>
      <c r="E92" s="15" t="s">
        <v>226</v>
      </c>
    </row>
    <row r="93" spans="1:5" x14ac:dyDescent="0.2">
      <c r="A93" s="15">
        <v>92</v>
      </c>
      <c r="B93" s="15">
        <v>173</v>
      </c>
      <c r="C93" s="15" t="s">
        <v>223</v>
      </c>
      <c r="D93" s="15">
        <v>58.1</v>
      </c>
      <c r="E93" s="15" t="s">
        <v>224</v>
      </c>
    </row>
    <row r="94" spans="1:5" x14ac:dyDescent="0.2">
      <c r="A94" s="15">
        <v>93</v>
      </c>
      <c r="B94" s="15">
        <v>145</v>
      </c>
      <c r="C94" s="15" t="s">
        <v>223</v>
      </c>
      <c r="D94" s="15">
        <v>280.2</v>
      </c>
      <c r="E94" s="15" t="s">
        <v>218</v>
      </c>
    </row>
    <row r="95" spans="1:5" x14ac:dyDescent="0.2">
      <c r="A95" s="15">
        <v>94</v>
      </c>
      <c r="B95" s="15">
        <v>154</v>
      </c>
      <c r="C95" s="15" t="s">
        <v>215</v>
      </c>
      <c r="D95" s="15">
        <v>204.2</v>
      </c>
      <c r="E95" s="15" t="s">
        <v>216</v>
      </c>
    </row>
    <row r="96" spans="1:5" x14ac:dyDescent="0.2">
      <c r="A96" s="15">
        <v>95</v>
      </c>
      <c r="B96" s="15">
        <v>190</v>
      </c>
      <c r="C96" s="15" t="s">
        <v>223</v>
      </c>
      <c r="D96" s="15">
        <v>249.1</v>
      </c>
      <c r="E96" s="15" t="s">
        <v>224</v>
      </c>
    </row>
    <row r="97" spans="1:5" x14ac:dyDescent="0.2">
      <c r="A97" s="15">
        <v>96</v>
      </c>
      <c r="B97" s="15">
        <v>122</v>
      </c>
      <c r="C97" s="15" t="s">
        <v>225</v>
      </c>
      <c r="D97" s="15">
        <v>170.4</v>
      </c>
      <c r="E97" s="15" t="s">
        <v>226</v>
      </c>
    </row>
    <row r="98" spans="1:5" x14ac:dyDescent="0.2">
      <c r="A98" s="15">
        <v>97</v>
      </c>
      <c r="B98" s="15">
        <v>46</v>
      </c>
      <c r="C98" s="15" t="s">
        <v>222</v>
      </c>
      <c r="D98" s="15">
        <v>79.3</v>
      </c>
      <c r="E98" s="15" t="s">
        <v>221</v>
      </c>
    </row>
    <row r="99" spans="1:5" x14ac:dyDescent="0.2">
      <c r="A99" s="15">
        <v>98</v>
      </c>
      <c r="B99" s="15">
        <v>64</v>
      </c>
      <c r="C99" s="15" t="s">
        <v>225</v>
      </c>
      <c r="D99" s="15">
        <v>81.3</v>
      </c>
      <c r="E99" s="15" t="s">
        <v>219</v>
      </c>
    </row>
    <row r="100" spans="1:5" x14ac:dyDescent="0.2">
      <c r="A100" s="15">
        <v>99</v>
      </c>
      <c r="B100" s="15">
        <v>130</v>
      </c>
      <c r="C100" s="15" t="s">
        <v>215</v>
      </c>
      <c r="D100" s="15">
        <v>221.4</v>
      </c>
      <c r="E100" s="15" t="s">
        <v>224</v>
      </c>
    </row>
    <row r="101" spans="1:5" x14ac:dyDescent="0.2">
      <c r="A101" s="15">
        <v>100</v>
      </c>
      <c r="B101" s="15">
        <v>54</v>
      </c>
      <c r="C101" s="15" t="s">
        <v>225</v>
      </c>
      <c r="D101" s="15">
        <v>157.6</v>
      </c>
      <c r="E101" s="15" t="s">
        <v>224</v>
      </c>
    </row>
    <row r="102" spans="1:5" x14ac:dyDescent="0.2">
      <c r="A102" s="15">
        <v>101</v>
      </c>
      <c r="B102" s="15">
        <v>107</v>
      </c>
      <c r="C102" s="15" t="s">
        <v>222</v>
      </c>
      <c r="D102" s="15">
        <v>100.1</v>
      </c>
      <c r="E102" s="15" t="s">
        <v>221</v>
      </c>
    </row>
    <row r="103" spans="1:5" x14ac:dyDescent="0.2">
      <c r="A103" s="15">
        <v>102</v>
      </c>
      <c r="B103" s="15">
        <v>193</v>
      </c>
      <c r="C103" s="15" t="s">
        <v>217</v>
      </c>
      <c r="D103" s="15">
        <v>172.9</v>
      </c>
      <c r="E103" s="15" t="s">
        <v>224</v>
      </c>
    </row>
    <row r="104" spans="1:5" x14ac:dyDescent="0.2">
      <c r="A104" s="15">
        <v>103</v>
      </c>
      <c r="B104" s="15">
        <v>51</v>
      </c>
      <c r="C104" s="15" t="s">
        <v>215</v>
      </c>
      <c r="D104" s="15">
        <v>66.099999999999994</v>
      </c>
      <c r="E104" s="15" t="s">
        <v>226</v>
      </c>
    </row>
    <row r="105" spans="1:5" x14ac:dyDescent="0.2">
      <c r="A105" s="15">
        <v>104</v>
      </c>
      <c r="B105" s="15">
        <v>181</v>
      </c>
      <c r="C105" s="15" t="s">
        <v>217</v>
      </c>
      <c r="D105" s="15">
        <v>195.5</v>
      </c>
      <c r="E105" s="15" t="s">
        <v>226</v>
      </c>
    </row>
    <row r="106" spans="1:5" x14ac:dyDescent="0.2">
      <c r="A106" s="15">
        <v>105</v>
      </c>
      <c r="B106" s="15">
        <v>36</v>
      </c>
      <c r="C106" s="15" t="s">
        <v>220</v>
      </c>
      <c r="D106" s="15">
        <v>117.2</v>
      </c>
      <c r="E106" s="15" t="s">
        <v>221</v>
      </c>
    </row>
    <row r="107" spans="1:5" x14ac:dyDescent="0.2">
      <c r="A107" s="15">
        <v>106</v>
      </c>
      <c r="B107" s="15">
        <v>115</v>
      </c>
      <c r="C107" s="15" t="s">
        <v>217</v>
      </c>
      <c r="D107" s="15">
        <v>249.4</v>
      </c>
      <c r="E107" s="15" t="s">
        <v>219</v>
      </c>
    </row>
    <row r="108" spans="1:5" x14ac:dyDescent="0.2">
      <c r="A108" s="15">
        <v>107</v>
      </c>
      <c r="B108" s="15">
        <v>26</v>
      </c>
      <c r="C108" s="15" t="s">
        <v>220</v>
      </c>
      <c r="D108" s="15">
        <v>127.6</v>
      </c>
      <c r="E108" s="15" t="s">
        <v>218</v>
      </c>
    </row>
    <row r="109" spans="1:5" x14ac:dyDescent="0.2">
      <c r="A109" s="15">
        <v>108</v>
      </c>
      <c r="B109" s="15">
        <v>29</v>
      </c>
      <c r="C109" s="15" t="s">
        <v>220</v>
      </c>
      <c r="D109" s="15">
        <v>163.80000000000001</v>
      </c>
      <c r="E109" s="15" t="s">
        <v>216</v>
      </c>
    </row>
    <row r="110" spans="1:5" x14ac:dyDescent="0.2">
      <c r="A110" s="15">
        <v>109</v>
      </c>
      <c r="B110" s="15">
        <v>149</v>
      </c>
      <c r="C110" s="15" t="s">
        <v>217</v>
      </c>
      <c r="D110" s="15">
        <v>52.9</v>
      </c>
      <c r="E110" s="15" t="s">
        <v>218</v>
      </c>
    </row>
    <row r="111" spans="1:5" x14ac:dyDescent="0.2">
      <c r="A111" s="15">
        <v>110</v>
      </c>
      <c r="B111" s="15">
        <v>11</v>
      </c>
      <c r="C111" s="15" t="s">
        <v>215</v>
      </c>
      <c r="D111" s="15">
        <v>68.099999999999994</v>
      </c>
      <c r="E111" s="15" t="s">
        <v>224</v>
      </c>
    </row>
    <row r="112" spans="1:5" x14ac:dyDescent="0.2">
      <c r="A112" s="15">
        <v>111</v>
      </c>
      <c r="B112" s="15">
        <v>40</v>
      </c>
      <c r="C112" s="15" t="s">
        <v>222</v>
      </c>
      <c r="D112" s="15">
        <v>148.1</v>
      </c>
      <c r="E112" s="15" t="s">
        <v>216</v>
      </c>
    </row>
    <row r="113" spans="1:5" x14ac:dyDescent="0.2">
      <c r="A113" s="15">
        <v>112</v>
      </c>
      <c r="B113" s="15">
        <v>11</v>
      </c>
      <c r="C113" s="15" t="s">
        <v>225</v>
      </c>
      <c r="D113" s="15">
        <v>170</v>
      </c>
      <c r="E113" s="15" t="s">
        <v>221</v>
      </c>
    </row>
    <row r="114" spans="1:5" x14ac:dyDescent="0.2">
      <c r="A114" s="15">
        <v>113</v>
      </c>
      <c r="B114" s="15">
        <v>164</v>
      </c>
      <c r="C114" s="15" t="s">
        <v>225</v>
      </c>
      <c r="D114" s="15">
        <v>200</v>
      </c>
      <c r="E114" s="15" t="s">
        <v>221</v>
      </c>
    </row>
    <row r="115" spans="1:5" x14ac:dyDescent="0.2">
      <c r="A115" s="15">
        <v>114</v>
      </c>
      <c r="B115" s="15">
        <v>113</v>
      </c>
      <c r="C115" s="15" t="s">
        <v>222</v>
      </c>
      <c r="D115" s="15">
        <v>122.9</v>
      </c>
      <c r="E115" s="15" t="s">
        <v>219</v>
      </c>
    </row>
    <row r="116" spans="1:5" x14ac:dyDescent="0.2">
      <c r="A116" s="15">
        <v>115</v>
      </c>
      <c r="B116" s="15">
        <v>187</v>
      </c>
      <c r="C116" s="15" t="s">
        <v>220</v>
      </c>
      <c r="D116" s="15">
        <v>223.7</v>
      </c>
      <c r="E116" s="15" t="s">
        <v>216</v>
      </c>
    </row>
    <row r="117" spans="1:5" x14ac:dyDescent="0.2">
      <c r="A117" s="15">
        <v>116</v>
      </c>
      <c r="B117" s="15">
        <v>39</v>
      </c>
      <c r="C117" s="15" t="s">
        <v>220</v>
      </c>
      <c r="D117" s="15">
        <v>265</v>
      </c>
      <c r="E117" s="15" t="s">
        <v>226</v>
      </c>
    </row>
    <row r="118" spans="1:5" x14ac:dyDescent="0.2">
      <c r="A118" s="15">
        <v>117</v>
      </c>
      <c r="B118" s="15">
        <v>54</v>
      </c>
      <c r="C118" s="15" t="s">
        <v>215</v>
      </c>
      <c r="D118" s="15">
        <v>245</v>
      </c>
      <c r="E118" s="15" t="s">
        <v>216</v>
      </c>
    </row>
    <row r="119" spans="1:5" x14ac:dyDescent="0.2">
      <c r="A119" s="15">
        <v>118</v>
      </c>
      <c r="B119" s="15">
        <v>98</v>
      </c>
      <c r="C119" s="15" t="s">
        <v>223</v>
      </c>
      <c r="D119" s="15">
        <v>59.9</v>
      </c>
      <c r="E119" s="15" t="s">
        <v>224</v>
      </c>
    </row>
    <row r="120" spans="1:5" x14ac:dyDescent="0.2">
      <c r="A120" s="15">
        <v>119</v>
      </c>
      <c r="B120" s="15">
        <v>55</v>
      </c>
      <c r="C120" s="15" t="s">
        <v>217</v>
      </c>
      <c r="D120" s="15">
        <v>170.1</v>
      </c>
      <c r="E120" s="15" t="s">
        <v>226</v>
      </c>
    </row>
    <row r="121" spans="1:5" x14ac:dyDescent="0.2">
      <c r="A121" s="15">
        <v>120</v>
      </c>
      <c r="B121" s="15">
        <v>111</v>
      </c>
      <c r="C121" s="15" t="s">
        <v>220</v>
      </c>
      <c r="D121" s="15">
        <v>76.2</v>
      </c>
      <c r="E121" s="15" t="s">
        <v>221</v>
      </c>
    </row>
    <row r="122" spans="1:5" x14ac:dyDescent="0.2">
      <c r="A122" s="15">
        <v>121</v>
      </c>
      <c r="B122" s="15">
        <v>152</v>
      </c>
      <c r="C122" s="15" t="s">
        <v>225</v>
      </c>
      <c r="D122" s="15">
        <v>110.5</v>
      </c>
      <c r="E122" s="15" t="s">
        <v>216</v>
      </c>
    </row>
    <row r="123" spans="1:5" x14ac:dyDescent="0.2">
      <c r="A123" s="15">
        <v>122</v>
      </c>
      <c r="B123" s="15">
        <v>150</v>
      </c>
      <c r="C123" s="15" t="s">
        <v>215</v>
      </c>
      <c r="D123" s="15">
        <v>296.7</v>
      </c>
      <c r="E123" s="15" t="s">
        <v>218</v>
      </c>
    </row>
    <row r="124" spans="1:5" x14ac:dyDescent="0.2">
      <c r="A124" s="15">
        <v>123</v>
      </c>
      <c r="B124" s="15">
        <v>69</v>
      </c>
      <c r="C124" s="15" t="s">
        <v>217</v>
      </c>
      <c r="D124" s="15">
        <v>85.6</v>
      </c>
      <c r="E124" s="15" t="s">
        <v>219</v>
      </c>
    </row>
    <row r="125" spans="1:5" x14ac:dyDescent="0.2">
      <c r="A125" s="15">
        <v>124</v>
      </c>
      <c r="B125" s="15">
        <v>56</v>
      </c>
      <c r="C125" s="15" t="s">
        <v>215</v>
      </c>
      <c r="D125" s="15">
        <v>174.7</v>
      </c>
      <c r="E125" s="15" t="s">
        <v>218</v>
      </c>
    </row>
    <row r="126" spans="1:5" x14ac:dyDescent="0.2">
      <c r="A126" s="15">
        <v>125</v>
      </c>
      <c r="B126" s="15">
        <v>33</v>
      </c>
      <c r="C126" s="15" t="s">
        <v>217</v>
      </c>
      <c r="D126" s="15">
        <v>204.5</v>
      </c>
      <c r="E126" s="15" t="s">
        <v>219</v>
      </c>
    </row>
    <row r="127" spans="1:5" x14ac:dyDescent="0.2">
      <c r="A127" s="15">
        <v>126</v>
      </c>
      <c r="B127" s="15">
        <v>36</v>
      </c>
      <c r="C127" s="15" t="s">
        <v>217</v>
      </c>
      <c r="D127" s="15">
        <v>225.6</v>
      </c>
      <c r="E127" s="15" t="s">
        <v>224</v>
      </c>
    </row>
    <row r="128" spans="1:5" x14ac:dyDescent="0.2">
      <c r="A128" s="15">
        <v>127</v>
      </c>
      <c r="B128" s="15">
        <v>148</v>
      </c>
      <c r="C128" s="15" t="s">
        <v>222</v>
      </c>
      <c r="D128" s="15">
        <v>189.9</v>
      </c>
      <c r="E128" s="15" t="s">
        <v>218</v>
      </c>
    </row>
    <row r="129" spans="1:5" x14ac:dyDescent="0.2">
      <c r="A129" s="15">
        <v>128</v>
      </c>
      <c r="B129" s="15">
        <v>81</v>
      </c>
      <c r="C129" s="15" t="s">
        <v>220</v>
      </c>
      <c r="D129" s="15">
        <v>52.4</v>
      </c>
      <c r="E129" s="15" t="s">
        <v>216</v>
      </c>
    </row>
    <row r="130" spans="1:5" x14ac:dyDescent="0.2">
      <c r="A130" s="15">
        <v>129</v>
      </c>
      <c r="B130" s="15">
        <v>190</v>
      </c>
      <c r="C130" s="15" t="s">
        <v>215</v>
      </c>
      <c r="D130" s="15">
        <v>131.6</v>
      </c>
      <c r="E130" s="15" t="s">
        <v>216</v>
      </c>
    </row>
    <row r="131" spans="1:5" x14ac:dyDescent="0.2">
      <c r="A131" s="15">
        <v>130</v>
      </c>
      <c r="B131" s="15">
        <v>109</v>
      </c>
      <c r="C131" s="15" t="s">
        <v>215</v>
      </c>
      <c r="D131" s="15">
        <v>179.4</v>
      </c>
      <c r="E131" s="15" t="s">
        <v>218</v>
      </c>
    </row>
    <row r="132" spans="1:5" x14ac:dyDescent="0.2">
      <c r="A132" s="15">
        <v>131</v>
      </c>
      <c r="B132" s="15">
        <v>154</v>
      </c>
      <c r="C132" s="15" t="s">
        <v>222</v>
      </c>
      <c r="D132" s="15">
        <v>72</v>
      </c>
      <c r="E132" s="15" t="s">
        <v>216</v>
      </c>
    </row>
    <row r="133" spans="1:5" x14ac:dyDescent="0.2">
      <c r="A133" s="15">
        <v>132</v>
      </c>
      <c r="B133" s="15">
        <v>194</v>
      </c>
      <c r="C133" s="15" t="s">
        <v>225</v>
      </c>
      <c r="D133" s="15">
        <v>137.69999999999999</v>
      </c>
      <c r="E133" s="15" t="s">
        <v>224</v>
      </c>
    </row>
    <row r="134" spans="1:5" x14ac:dyDescent="0.2">
      <c r="A134" s="15">
        <v>133</v>
      </c>
      <c r="B134" s="15">
        <v>73</v>
      </c>
      <c r="C134" s="15" t="s">
        <v>225</v>
      </c>
      <c r="D134" s="15">
        <v>58.3</v>
      </c>
      <c r="E134" s="15" t="s">
        <v>226</v>
      </c>
    </row>
    <row r="135" spans="1:5" x14ac:dyDescent="0.2">
      <c r="A135" s="15">
        <v>134</v>
      </c>
      <c r="B135" s="15">
        <v>40</v>
      </c>
      <c r="C135" s="15" t="s">
        <v>220</v>
      </c>
      <c r="D135" s="15">
        <v>69.599999999999994</v>
      </c>
      <c r="E135" s="15" t="s">
        <v>224</v>
      </c>
    </row>
    <row r="136" spans="1:5" x14ac:dyDescent="0.2">
      <c r="A136" s="15">
        <v>135</v>
      </c>
      <c r="B136" s="15">
        <v>17</v>
      </c>
      <c r="C136" s="15" t="s">
        <v>220</v>
      </c>
      <c r="D136" s="15">
        <v>149.19999999999999</v>
      </c>
      <c r="E136" s="15" t="s">
        <v>219</v>
      </c>
    </row>
    <row r="137" spans="1:5" x14ac:dyDescent="0.2">
      <c r="A137" s="15">
        <v>136</v>
      </c>
      <c r="B137" s="15">
        <v>129</v>
      </c>
      <c r="C137" s="15" t="s">
        <v>223</v>
      </c>
      <c r="D137" s="15">
        <v>83.2</v>
      </c>
      <c r="E137" s="15" t="s">
        <v>224</v>
      </c>
    </row>
    <row r="138" spans="1:5" x14ac:dyDescent="0.2">
      <c r="A138" s="15">
        <v>137</v>
      </c>
      <c r="B138" s="15">
        <v>61</v>
      </c>
      <c r="C138" s="15" t="s">
        <v>222</v>
      </c>
      <c r="D138" s="15">
        <v>191.9</v>
      </c>
      <c r="E138" s="15" t="s">
        <v>219</v>
      </c>
    </row>
    <row r="139" spans="1:5" x14ac:dyDescent="0.2">
      <c r="A139" s="15">
        <v>138</v>
      </c>
      <c r="B139" s="15">
        <v>171</v>
      </c>
      <c r="C139" s="15" t="s">
        <v>225</v>
      </c>
      <c r="D139" s="15">
        <v>222.4</v>
      </c>
      <c r="E139" s="15" t="s">
        <v>216</v>
      </c>
    </row>
    <row r="140" spans="1:5" x14ac:dyDescent="0.2">
      <c r="A140" s="15">
        <v>139</v>
      </c>
      <c r="B140" s="15">
        <v>104</v>
      </c>
      <c r="C140" s="15" t="s">
        <v>217</v>
      </c>
      <c r="D140" s="15">
        <v>250.1</v>
      </c>
      <c r="E140" s="15" t="s">
        <v>226</v>
      </c>
    </row>
    <row r="141" spans="1:5" x14ac:dyDescent="0.2">
      <c r="A141" s="15">
        <v>140</v>
      </c>
      <c r="B141" s="15">
        <v>42</v>
      </c>
      <c r="C141" s="15" t="s">
        <v>215</v>
      </c>
      <c r="D141" s="15">
        <v>100</v>
      </c>
      <c r="E141" s="15" t="s">
        <v>216</v>
      </c>
    </row>
    <row r="142" spans="1:5" x14ac:dyDescent="0.2">
      <c r="A142" s="15">
        <v>141</v>
      </c>
      <c r="B142" s="15">
        <v>25</v>
      </c>
      <c r="C142" s="15" t="s">
        <v>220</v>
      </c>
      <c r="D142" s="15">
        <v>91.9</v>
      </c>
      <c r="E142" s="15" t="s">
        <v>221</v>
      </c>
    </row>
    <row r="143" spans="1:5" x14ac:dyDescent="0.2">
      <c r="A143" s="15">
        <v>142</v>
      </c>
      <c r="B143" s="15">
        <v>39</v>
      </c>
      <c r="C143" s="15" t="s">
        <v>215</v>
      </c>
      <c r="D143" s="15">
        <v>76.099999999999994</v>
      </c>
      <c r="E143" s="15" t="s">
        <v>216</v>
      </c>
    </row>
    <row r="144" spans="1:5" x14ac:dyDescent="0.2">
      <c r="A144" s="15">
        <v>143</v>
      </c>
      <c r="B144" s="15">
        <v>35</v>
      </c>
      <c r="C144" s="15" t="s">
        <v>215</v>
      </c>
      <c r="D144" s="15">
        <v>209.1</v>
      </c>
      <c r="E144" s="15" t="s">
        <v>219</v>
      </c>
    </row>
    <row r="145" spans="1:5" x14ac:dyDescent="0.2">
      <c r="A145" s="15">
        <v>144</v>
      </c>
      <c r="B145" s="15">
        <v>131</v>
      </c>
      <c r="C145" s="15" t="s">
        <v>223</v>
      </c>
      <c r="D145" s="15">
        <v>226.6</v>
      </c>
      <c r="E145" s="15" t="s">
        <v>216</v>
      </c>
    </row>
    <row r="146" spans="1:5" x14ac:dyDescent="0.2">
      <c r="A146" s="15">
        <v>145</v>
      </c>
      <c r="B146" s="15">
        <v>108</v>
      </c>
      <c r="C146" s="15" t="s">
        <v>225</v>
      </c>
      <c r="D146" s="15">
        <v>57.9</v>
      </c>
      <c r="E146" s="15" t="s">
        <v>216</v>
      </c>
    </row>
    <row r="147" spans="1:5" x14ac:dyDescent="0.2">
      <c r="A147" s="15">
        <v>146</v>
      </c>
      <c r="B147" s="15">
        <v>172</v>
      </c>
      <c r="C147" s="15" t="s">
        <v>220</v>
      </c>
      <c r="D147" s="15">
        <v>284.10000000000002</v>
      </c>
      <c r="E147" s="15" t="s">
        <v>226</v>
      </c>
    </row>
    <row r="148" spans="1:5" x14ac:dyDescent="0.2">
      <c r="A148" s="15">
        <v>147</v>
      </c>
      <c r="B148" s="15">
        <v>179</v>
      </c>
      <c r="C148" s="15" t="s">
        <v>215</v>
      </c>
      <c r="D148" s="15">
        <v>63</v>
      </c>
      <c r="E148" s="15" t="s">
        <v>216</v>
      </c>
    </row>
    <row r="149" spans="1:5" x14ac:dyDescent="0.2">
      <c r="A149" s="15">
        <v>148</v>
      </c>
      <c r="B149" s="15">
        <v>102</v>
      </c>
      <c r="C149" s="15" t="s">
        <v>220</v>
      </c>
      <c r="D149" s="15">
        <v>185.3</v>
      </c>
      <c r="E149" s="15" t="s">
        <v>226</v>
      </c>
    </row>
    <row r="150" spans="1:5" x14ac:dyDescent="0.2">
      <c r="A150" s="15">
        <v>149</v>
      </c>
      <c r="B150" s="15">
        <v>98</v>
      </c>
      <c r="C150" s="15" t="s">
        <v>217</v>
      </c>
      <c r="D150" s="15">
        <v>227.3</v>
      </c>
      <c r="E150" s="15" t="s">
        <v>218</v>
      </c>
    </row>
    <row r="151" spans="1:5" x14ac:dyDescent="0.2">
      <c r="A151" s="15">
        <v>150</v>
      </c>
      <c r="B151" s="15">
        <v>12</v>
      </c>
      <c r="C151" s="15" t="s">
        <v>223</v>
      </c>
      <c r="D151" s="15">
        <v>267.7</v>
      </c>
      <c r="E151" s="15" t="s">
        <v>221</v>
      </c>
    </row>
    <row r="152" spans="1:5" x14ac:dyDescent="0.2">
      <c r="A152" s="15">
        <v>151</v>
      </c>
      <c r="B152" s="15">
        <v>19</v>
      </c>
      <c r="C152" s="15" t="s">
        <v>217</v>
      </c>
      <c r="D152" s="15">
        <v>228.5</v>
      </c>
      <c r="E152" s="15" t="s">
        <v>226</v>
      </c>
    </row>
    <row r="153" spans="1:5" x14ac:dyDescent="0.2">
      <c r="A153" s="15">
        <v>152</v>
      </c>
      <c r="B153" s="15">
        <v>101</v>
      </c>
      <c r="C153" s="15" t="s">
        <v>220</v>
      </c>
      <c r="D153" s="15">
        <v>250.4</v>
      </c>
      <c r="E153" s="15" t="s">
        <v>219</v>
      </c>
    </row>
    <row r="154" spans="1:5" x14ac:dyDescent="0.2">
      <c r="A154" s="15">
        <v>153</v>
      </c>
      <c r="B154" s="15">
        <v>44</v>
      </c>
      <c r="C154" s="15" t="s">
        <v>220</v>
      </c>
      <c r="D154" s="15">
        <v>134.9</v>
      </c>
      <c r="E154" s="15" t="s">
        <v>218</v>
      </c>
    </row>
    <row r="155" spans="1:5" x14ac:dyDescent="0.2">
      <c r="A155" s="15">
        <v>154</v>
      </c>
      <c r="B155" s="15">
        <v>187</v>
      </c>
      <c r="C155" s="15" t="s">
        <v>225</v>
      </c>
      <c r="D155" s="15">
        <v>253.7</v>
      </c>
      <c r="E155" s="15" t="s">
        <v>226</v>
      </c>
    </row>
    <row r="156" spans="1:5" x14ac:dyDescent="0.2">
      <c r="A156" s="15">
        <v>155</v>
      </c>
      <c r="B156" s="15">
        <v>49</v>
      </c>
      <c r="C156" s="15" t="s">
        <v>215</v>
      </c>
      <c r="D156" s="15">
        <v>70</v>
      </c>
      <c r="E156" s="15" t="s">
        <v>226</v>
      </c>
    </row>
    <row r="157" spans="1:5" x14ac:dyDescent="0.2">
      <c r="A157" s="15">
        <v>156</v>
      </c>
      <c r="B157" s="15">
        <v>189</v>
      </c>
      <c r="C157" s="15" t="s">
        <v>215</v>
      </c>
      <c r="D157" s="15">
        <v>273.7</v>
      </c>
      <c r="E157" s="15" t="s">
        <v>221</v>
      </c>
    </row>
    <row r="158" spans="1:5" x14ac:dyDescent="0.2">
      <c r="A158" s="15">
        <v>157</v>
      </c>
      <c r="B158" s="15">
        <v>17</v>
      </c>
      <c r="C158" s="15" t="s">
        <v>217</v>
      </c>
      <c r="D158" s="15">
        <v>186.9</v>
      </c>
      <c r="E158" s="15" t="s">
        <v>219</v>
      </c>
    </row>
    <row r="159" spans="1:5" x14ac:dyDescent="0.2">
      <c r="A159" s="15">
        <v>158</v>
      </c>
      <c r="B159" s="15">
        <v>74</v>
      </c>
      <c r="C159" s="15" t="s">
        <v>223</v>
      </c>
      <c r="D159" s="15">
        <v>254.3</v>
      </c>
      <c r="E159" s="15" t="s">
        <v>224</v>
      </c>
    </row>
    <row r="160" spans="1:5" x14ac:dyDescent="0.2">
      <c r="A160" s="15">
        <v>159</v>
      </c>
      <c r="B160" s="15">
        <v>57</v>
      </c>
      <c r="C160" s="15" t="s">
        <v>222</v>
      </c>
      <c r="D160" s="15">
        <v>163.1</v>
      </c>
      <c r="E160" s="15" t="s">
        <v>224</v>
      </c>
    </row>
    <row r="161" spans="1:5" x14ac:dyDescent="0.2">
      <c r="A161" s="15">
        <v>160</v>
      </c>
      <c r="B161" s="15">
        <v>55</v>
      </c>
      <c r="C161" s="15" t="s">
        <v>215</v>
      </c>
      <c r="D161" s="15">
        <v>210.9</v>
      </c>
      <c r="E161" s="15" t="s">
        <v>226</v>
      </c>
    </row>
    <row r="162" spans="1:5" x14ac:dyDescent="0.2">
      <c r="A162" s="15">
        <v>161</v>
      </c>
      <c r="B162" s="15">
        <v>47</v>
      </c>
      <c r="C162" s="15" t="s">
        <v>225</v>
      </c>
      <c r="D162" s="15">
        <v>181.6</v>
      </c>
      <c r="E162" s="15" t="s">
        <v>216</v>
      </c>
    </row>
    <row r="163" spans="1:5" x14ac:dyDescent="0.2">
      <c r="A163" s="15">
        <v>162</v>
      </c>
      <c r="B163" s="15">
        <v>12</v>
      </c>
      <c r="C163" s="15" t="s">
        <v>217</v>
      </c>
      <c r="D163" s="15">
        <v>232.9</v>
      </c>
      <c r="E163" s="15" t="s">
        <v>219</v>
      </c>
    </row>
    <row r="164" spans="1:5" x14ac:dyDescent="0.2">
      <c r="A164" s="15">
        <v>163</v>
      </c>
      <c r="B164" s="15">
        <v>62</v>
      </c>
      <c r="C164" s="15" t="s">
        <v>217</v>
      </c>
      <c r="D164" s="15">
        <v>70.400000000000006</v>
      </c>
      <c r="E164" s="15" t="s">
        <v>218</v>
      </c>
    </row>
    <row r="165" spans="1:5" x14ac:dyDescent="0.2">
      <c r="A165" s="15">
        <v>164</v>
      </c>
      <c r="B165" s="15">
        <v>80</v>
      </c>
      <c r="C165" s="15" t="s">
        <v>222</v>
      </c>
      <c r="D165" s="15">
        <v>65.099999999999994</v>
      </c>
      <c r="E165" s="15" t="s">
        <v>216</v>
      </c>
    </row>
    <row r="166" spans="1:5" x14ac:dyDescent="0.2">
      <c r="A166" s="15">
        <v>165</v>
      </c>
      <c r="B166" s="15">
        <v>83</v>
      </c>
      <c r="C166" s="15" t="s">
        <v>225</v>
      </c>
      <c r="D166" s="15">
        <v>111.8</v>
      </c>
      <c r="E166" s="15" t="s">
        <v>216</v>
      </c>
    </row>
    <row r="167" spans="1:5" x14ac:dyDescent="0.2">
      <c r="A167" s="15">
        <v>166</v>
      </c>
      <c r="B167" s="15">
        <v>8</v>
      </c>
      <c r="C167" s="15" t="s">
        <v>223</v>
      </c>
      <c r="D167" s="15">
        <v>89.9</v>
      </c>
      <c r="E167" s="15" t="s">
        <v>219</v>
      </c>
    </row>
    <row r="168" spans="1:5" x14ac:dyDescent="0.2">
      <c r="A168" s="15">
        <v>167</v>
      </c>
      <c r="B168" s="15">
        <v>149</v>
      </c>
      <c r="C168" s="15" t="s">
        <v>225</v>
      </c>
      <c r="D168" s="15">
        <v>267.89999999999998</v>
      </c>
      <c r="E168" s="15" t="s">
        <v>226</v>
      </c>
    </row>
    <row r="169" spans="1:5" x14ac:dyDescent="0.2">
      <c r="A169" s="15">
        <v>168</v>
      </c>
      <c r="B169" s="15">
        <v>81</v>
      </c>
      <c r="C169" s="15" t="s">
        <v>223</v>
      </c>
      <c r="D169" s="15">
        <v>104.8</v>
      </c>
      <c r="E169" s="15" t="s">
        <v>226</v>
      </c>
    </row>
    <row r="170" spans="1:5" x14ac:dyDescent="0.2">
      <c r="A170" s="15">
        <v>169</v>
      </c>
      <c r="B170" s="15">
        <v>118</v>
      </c>
      <c r="C170" s="15" t="s">
        <v>225</v>
      </c>
      <c r="D170" s="15">
        <v>294</v>
      </c>
      <c r="E170" s="15" t="s">
        <v>226</v>
      </c>
    </row>
    <row r="171" spans="1:5" x14ac:dyDescent="0.2">
      <c r="A171" s="15">
        <v>170</v>
      </c>
      <c r="B171" s="15">
        <v>198</v>
      </c>
      <c r="C171" s="15" t="s">
        <v>225</v>
      </c>
      <c r="D171" s="15">
        <v>134.19999999999999</v>
      </c>
      <c r="E171" s="15" t="s">
        <v>226</v>
      </c>
    </row>
    <row r="172" spans="1:5" x14ac:dyDescent="0.2">
      <c r="A172" s="15">
        <v>171</v>
      </c>
      <c r="B172" s="15">
        <v>200</v>
      </c>
      <c r="C172" s="15" t="s">
        <v>220</v>
      </c>
      <c r="D172" s="15">
        <v>95.5</v>
      </c>
      <c r="E172" s="15" t="s">
        <v>224</v>
      </c>
    </row>
    <row r="173" spans="1:5" x14ac:dyDescent="0.2">
      <c r="A173" s="15">
        <v>172</v>
      </c>
      <c r="B173" s="15">
        <v>25</v>
      </c>
      <c r="C173" s="15" t="s">
        <v>217</v>
      </c>
      <c r="D173" s="15">
        <v>247.4</v>
      </c>
      <c r="E173" s="15" t="s">
        <v>226</v>
      </c>
    </row>
    <row r="174" spans="1:5" x14ac:dyDescent="0.2">
      <c r="A174" s="15">
        <v>173</v>
      </c>
      <c r="B174" s="15">
        <v>89</v>
      </c>
      <c r="C174" s="15" t="s">
        <v>225</v>
      </c>
      <c r="D174" s="15">
        <v>214.7</v>
      </c>
      <c r="E174" s="15" t="s">
        <v>224</v>
      </c>
    </row>
    <row r="175" spans="1:5" x14ac:dyDescent="0.2">
      <c r="A175" s="15">
        <v>174</v>
      </c>
      <c r="B175" s="15">
        <v>12</v>
      </c>
      <c r="C175" s="15" t="s">
        <v>222</v>
      </c>
      <c r="D175" s="15">
        <v>174.5</v>
      </c>
      <c r="E175" s="15" t="s">
        <v>224</v>
      </c>
    </row>
    <row r="176" spans="1:5" x14ac:dyDescent="0.2">
      <c r="A176" s="15">
        <v>175</v>
      </c>
      <c r="B176" s="15">
        <v>143</v>
      </c>
      <c r="C176" s="15" t="s">
        <v>225</v>
      </c>
      <c r="D176" s="15">
        <v>188.8</v>
      </c>
      <c r="E176" s="15" t="s">
        <v>226</v>
      </c>
    </row>
    <row r="177" spans="1:5" x14ac:dyDescent="0.2">
      <c r="A177" s="15">
        <v>176</v>
      </c>
      <c r="B177" s="15">
        <v>59</v>
      </c>
      <c r="C177" s="15" t="s">
        <v>215</v>
      </c>
      <c r="D177" s="15">
        <v>229.8</v>
      </c>
      <c r="E177" s="15" t="s">
        <v>221</v>
      </c>
    </row>
    <row r="178" spans="1:5" x14ac:dyDescent="0.2">
      <c r="A178" s="15">
        <v>177</v>
      </c>
      <c r="B178" s="15">
        <v>154</v>
      </c>
      <c r="C178" s="15" t="s">
        <v>217</v>
      </c>
      <c r="D178" s="15">
        <v>107.1</v>
      </c>
      <c r="E178" s="15" t="s">
        <v>218</v>
      </c>
    </row>
    <row r="179" spans="1:5" x14ac:dyDescent="0.2">
      <c r="A179" s="15">
        <v>178</v>
      </c>
      <c r="B179" s="15">
        <v>109</v>
      </c>
      <c r="C179" s="15" t="s">
        <v>215</v>
      </c>
      <c r="D179" s="15">
        <v>299.10000000000002</v>
      </c>
      <c r="E179" s="15" t="s">
        <v>216</v>
      </c>
    </row>
    <row r="180" spans="1:5" x14ac:dyDescent="0.2">
      <c r="A180" s="15">
        <v>179</v>
      </c>
      <c r="B180" s="15">
        <v>26</v>
      </c>
      <c r="C180" s="15" t="s">
        <v>217</v>
      </c>
      <c r="D180" s="15">
        <v>293.7</v>
      </c>
      <c r="E180" s="15" t="s">
        <v>224</v>
      </c>
    </row>
    <row r="181" spans="1:5" x14ac:dyDescent="0.2">
      <c r="A181" s="15">
        <v>180</v>
      </c>
      <c r="B181" s="15">
        <v>47</v>
      </c>
      <c r="C181" s="15" t="s">
        <v>215</v>
      </c>
      <c r="D181" s="15">
        <v>212.6</v>
      </c>
      <c r="E181" s="15" t="s">
        <v>219</v>
      </c>
    </row>
    <row r="182" spans="1:5" x14ac:dyDescent="0.2">
      <c r="A182" s="15">
        <v>181</v>
      </c>
      <c r="B182" s="15">
        <v>32</v>
      </c>
      <c r="C182" s="15" t="s">
        <v>225</v>
      </c>
      <c r="D182" s="15">
        <v>99.9</v>
      </c>
      <c r="E182" s="15" t="s">
        <v>219</v>
      </c>
    </row>
    <row r="183" spans="1:5" x14ac:dyDescent="0.2">
      <c r="A183" s="15">
        <v>182</v>
      </c>
      <c r="B183" s="15">
        <v>10</v>
      </c>
      <c r="C183" s="15" t="s">
        <v>225</v>
      </c>
      <c r="D183" s="15">
        <v>220.1</v>
      </c>
      <c r="E183" s="15" t="s">
        <v>218</v>
      </c>
    </row>
    <row r="184" spans="1:5" x14ac:dyDescent="0.2">
      <c r="A184" s="15">
        <v>183</v>
      </c>
      <c r="B184" s="15">
        <v>16</v>
      </c>
      <c r="C184" s="15" t="s">
        <v>220</v>
      </c>
      <c r="D184" s="15">
        <v>68</v>
      </c>
      <c r="E184" s="15" t="s">
        <v>219</v>
      </c>
    </row>
    <row r="185" spans="1:5" x14ac:dyDescent="0.2">
      <c r="A185" s="15">
        <v>184</v>
      </c>
      <c r="B185" s="15">
        <v>199</v>
      </c>
      <c r="C185" s="15" t="s">
        <v>222</v>
      </c>
      <c r="D185" s="15">
        <v>57.7</v>
      </c>
      <c r="E185" s="15" t="s">
        <v>221</v>
      </c>
    </row>
    <row r="186" spans="1:5" x14ac:dyDescent="0.2">
      <c r="A186" s="15">
        <v>185</v>
      </c>
      <c r="B186" s="15">
        <v>145</v>
      </c>
      <c r="C186" s="15" t="s">
        <v>215</v>
      </c>
      <c r="D186" s="15">
        <v>114.4</v>
      </c>
      <c r="E186" s="15" t="s">
        <v>219</v>
      </c>
    </row>
    <row r="187" spans="1:5" x14ac:dyDescent="0.2">
      <c r="A187" s="15">
        <v>186</v>
      </c>
      <c r="B187" s="15">
        <v>151</v>
      </c>
      <c r="C187" s="15" t="s">
        <v>223</v>
      </c>
      <c r="D187" s="15">
        <v>165.7</v>
      </c>
      <c r="E187" s="15" t="s">
        <v>216</v>
      </c>
    </row>
    <row r="188" spans="1:5" x14ac:dyDescent="0.2">
      <c r="A188" s="15">
        <v>187</v>
      </c>
      <c r="B188" s="15">
        <v>26</v>
      </c>
      <c r="C188" s="15" t="s">
        <v>220</v>
      </c>
      <c r="D188" s="15">
        <v>267.10000000000002</v>
      </c>
      <c r="E188" s="15" t="s">
        <v>216</v>
      </c>
    </row>
    <row r="189" spans="1:5" x14ac:dyDescent="0.2">
      <c r="A189" s="15">
        <v>188</v>
      </c>
      <c r="B189" s="15">
        <v>86</v>
      </c>
      <c r="C189" s="15" t="s">
        <v>215</v>
      </c>
      <c r="D189" s="15">
        <v>231.8</v>
      </c>
      <c r="E189" s="15" t="s">
        <v>224</v>
      </c>
    </row>
    <row r="190" spans="1:5" x14ac:dyDescent="0.2">
      <c r="A190" s="15">
        <v>189</v>
      </c>
      <c r="B190" s="15">
        <v>135</v>
      </c>
      <c r="C190" s="15" t="s">
        <v>215</v>
      </c>
      <c r="D190" s="15">
        <v>235.7</v>
      </c>
      <c r="E190" s="15" t="s">
        <v>226</v>
      </c>
    </row>
    <row r="191" spans="1:5" x14ac:dyDescent="0.2">
      <c r="A191" s="15">
        <v>190</v>
      </c>
      <c r="B191" s="15">
        <v>14</v>
      </c>
      <c r="C191" s="15" t="s">
        <v>220</v>
      </c>
      <c r="D191" s="15">
        <v>156.4</v>
      </c>
      <c r="E191" s="15" t="s">
        <v>221</v>
      </c>
    </row>
    <row r="192" spans="1:5" x14ac:dyDescent="0.2">
      <c r="A192" s="15">
        <v>191</v>
      </c>
      <c r="B192" s="15">
        <v>79</v>
      </c>
      <c r="C192" s="15" t="s">
        <v>225</v>
      </c>
      <c r="D192" s="15">
        <v>136.5</v>
      </c>
      <c r="E192" s="15" t="s">
        <v>224</v>
      </c>
    </row>
    <row r="193" spans="1:5" x14ac:dyDescent="0.2">
      <c r="A193" s="15">
        <v>192</v>
      </c>
      <c r="B193" s="15">
        <v>117</v>
      </c>
      <c r="C193" s="15" t="s">
        <v>215</v>
      </c>
      <c r="D193" s="15">
        <v>142.80000000000001</v>
      </c>
      <c r="E193" s="15" t="s">
        <v>221</v>
      </c>
    </row>
    <row r="194" spans="1:5" x14ac:dyDescent="0.2">
      <c r="A194" s="15">
        <v>193</v>
      </c>
      <c r="B194" s="15">
        <v>7</v>
      </c>
      <c r="C194" s="15" t="s">
        <v>225</v>
      </c>
      <c r="D194" s="15">
        <v>296.89999999999998</v>
      </c>
      <c r="E194" s="15" t="s">
        <v>226</v>
      </c>
    </row>
    <row r="195" spans="1:5" x14ac:dyDescent="0.2">
      <c r="A195" s="15">
        <v>194</v>
      </c>
      <c r="B195" s="15">
        <v>137</v>
      </c>
      <c r="C195" s="15" t="s">
        <v>220</v>
      </c>
      <c r="D195" s="15">
        <v>60</v>
      </c>
      <c r="E195" s="15" t="s">
        <v>219</v>
      </c>
    </row>
    <row r="196" spans="1:5" x14ac:dyDescent="0.2">
      <c r="A196" s="15">
        <v>195</v>
      </c>
      <c r="B196" s="15">
        <v>115</v>
      </c>
      <c r="C196" s="15" t="s">
        <v>225</v>
      </c>
      <c r="D196" s="15">
        <v>266.8</v>
      </c>
      <c r="E196" s="15" t="s">
        <v>219</v>
      </c>
    </row>
    <row r="197" spans="1:5" x14ac:dyDescent="0.2">
      <c r="A197" s="15">
        <v>196</v>
      </c>
      <c r="B197" s="15">
        <v>176</v>
      </c>
      <c r="C197" s="15" t="s">
        <v>217</v>
      </c>
      <c r="D197" s="15">
        <v>194.7</v>
      </c>
      <c r="E197" s="15" t="s">
        <v>226</v>
      </c>
    </row>
    <row r="198" spans="1:5" x14ac:dyDescent="0.2">
      <c r="A198" s="15">
        <v>197</v>
      </c>
      <c r="B198" s="15">
        <v>72</v>
      </c>
      <c r="C198" s="15" t="s">
        <v>223</v>
      </c>
      <c r="D198" s="15">
        <v>159.69999999999999</v>
      </c>
      <c r="E198" s="15" t="s">
        <v>224</v>
      </c>
    </row>
    <row r="199" spans="1:5" x14ac:dyDescent="0.2">
      <c r="A199" s="15">
        <v>198</v>
      </c>
      <c r="B199" s="15">
        <v>59</v>
      </c>
      <c r="C199" s="15" t="s">
        <v>215</v>
      </c>
      <c r="D199" s="15">
        <v>231.3</v>
      </c>
      <c r="E199" s="15" t="s">
        <v>226</v>
      </c>
    </row>
    <row r="200" spans="1:5" x14ac:dyDescent="0.2">
      <c r="A200" s="15">
        <v>199</v>
      </c>
      <c r="B200" s="15">
        <v>82</v>
      </c>
      <c r="C200" s="15" t="s">
        <v>222</v>
      </c>
      <c r="D200" s="15">
        <v>171.7</v>
      </c>
      <c r="E200" s="15" t="s">
        <v>218</v>
      </c>
    </row>
    <row r="201" spans="1:5" x14ac:dyDescent="0.2">
      <c r="A201" s="15">
        <v>200</v>
      </c>
      <c r="B201" s="15">
        <v>116</v>
      </c>
      <c r="C201" s="15" t="s">
        <v>223</v>
      </c>
      <c r="D201" s="15">
        <v>268.39999999999998</v>
      </c>
      <c r="E201" s="15" t="s">
        <v>216</v>
      </c>
    </row>
  </sheetData>
  <autoFilter ref="A1:E201" xr:uid="{B6B0F285-2A34-6E46-8520-B3EFCE9565F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B362-323E-DC45-AE58-878D8214157B}">
  <dimension ref="A1:B4"/>
  <sheetViews>
    <sheetView zoomScale="125" zoomScaleNormal="125" workbookViewId="0">
      <selection activeCell="B1" sqref="B1"/>
    </sheetView>
  </sheetViews>
  <sheetFormatPr baseColWidth="10" defaultRowHeight="16" x14ac:dyDescent="0.2"/>
  <cols>
    <col min="1" max="1" width="10.5" bestFit="1" customWidth="1"/>
    <col min="2" max="2" width="13.5" bestFit="1" customWidth="1"/>
  </cols>
  <sheetData>
    <row r="1" spans="1:2" x14ac:dyDescent="0.2">
      <c r="A1" s="7" t="s">
        <v>7</v>
      </c>
      <c r="B1" s="7" t="s">
        <v>227</v>
      </c>
    </row>
    <row r="2" spans="1:2" x14ac:dyDescent="0.2">
      <c r="A2" s="6">
        <v>1</v>
      </c>
      <c r="B2" s="6" t="s">
        <v>228</v>
      </c>
    </row>
    <row r="3" spans="1:2" x14ac:dyDescent="0.2">
      <c r="A3" s="6">
        <v>2</v>
      </c>
      <c r="B3" s="6" t="s">
        <v>229</v>
      </c>
    </row>
    <row r="4" spans="1:2" x14ac:dyDescent="0.2">
      <c r="A4" s="6">
        <v>3</v>
      </c>
      <c r="B4" s="6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9A05-0632-5447-AC41-2BF5143C7E24}">
  <dimension ref="A1:B11"/>
  <sheetViews>
    <sheetView zoomScale="125" zoomScaleNormal="125" workbookViewId="0">
      <selection activeCell="D15" sqref="D15"/>
    </sheetView>
  </sheetViews>
  <sheetFormatPr baseColWidth="10" defaultRowHeight="16" x14ac:dyDescent="0.2"/>
  <cols>
    <col min="2" max="2" width="13.83203125" bestFit="1" customWidth="1"/>
  </cols>
  <sheetData>
    <row r="1" spans="1:2" x14ac:dyDescent="0.2">
      <c r="A1" s="7" t="s">
        <v>4</v>
      </c>
      <c r="B1" s="7" t="s">
        <v>231</v>
      </c>
    </row>
    <row r="2" spans="1:2" x14ac:dyDescent="0.2">
      <c r="A2" s="15">
        <v>1</v>
      </c>
      <c r="B2" s="15" t="s">
        <v>232</v>
      </c>
    </row>
    <row r="3" spans="1:2" x14ac:dyDescent="0.2">
      <c r="A3" s="15">
        <v>2</v>
      </c>
      <c r="B3" s="15" t="s">
        <v>233</v>
      </c>
    </row>
    <row r="4" spans="1:2" x14ac:dyDescent="0.2">
      <c r="A4" s="15">
        <v>3</v>
      </c>
      <c r="B4" s="15" t="s">
        <v>234</v>
      </c>
    </row>
    <row r="5" spans="1:2" x14ac:dyDescent="0.2">
      <c r="A5" s="15">
        <v>4</v>
      </c>
      <c r="B5" s="15" t="s">
        <v>235</v>
      </c>
    </row>
    <row r="6" spans="1:2" x14ac:dyDescent="0.2">
      <c r="A6" s="15">
        <v>5</v>
      </c>
      <c r="B6" s="15" t="s">
        <v>236</v>
      </c>
    </row>
    <row r="7" spans="1:2" x14ac:dyDescent="0.2">
      <c r="A7" s="15">
        <v>6</v>
      </c>
      <c r="B7" s="15" t="s">
        <v>237</v>
      </c>
    </row>
    <row r="8" spans="1:2" x14ac:dyDescent="0.2">
      <c r="A8" s="15">
        <v>7</v>
      </c>
      <c r="B8" s="15" t="s">
        <v>238</v>
      </c>
    </row>
    <row r="9" spans="1:2" x14ac:dyDescent="0.2">
      <c r="A9" s="15">
        <v>8</v>
      </c>
      <c r="B9" s="15" t="s">
        <v>239</v>
      </c>
    </row>
    <row r="10" spans="1:2" x14ac:dyDescent="0.2">
      <c r="A10" s="15">
        <v>9</v>
      </c>
      <c r="B10" s="15" t="s">
        <v>240</v>
      </c>
    </row>
    <row r="11" spans="1:2" x14ac:dyDescent="0.2">
      <c r="A11" s="15">
        <v>10</v>
      </c>
      <c r="B11" s="15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C535-3CB3-3743-B67C-3FBA592F1DD9}">
  <dimension ref="A3:B7"/>
  <sheetViews>
    <sheetView zoomScale="125" zoomScaleNormal="125" workbookViewId="0">
      <selection activeCell="O8" sqref="O8"/>
    </sheetView>
  </sheetViews>
  <sheetFormatPr baseColWidth="10" defaultRowHeight="16" x14ac:dyDescent="0.2"/>
  <cols>
    <col min="1" max="1" width="13" bestFit="1" customWidth="1"/>
    <col min="2" max="2" width="16.5" bestFit="1" customWidth="1"/>
  </cols>
  <sheetData>
    <row r="3" spans="1:2" x14ac:dyDescent="0.2">
      <c r="A3" s="2" t="s">
        <v>245</v>
      </c>
      <c r="B3" t="s">
        <v>248</v>
      </c>
    </row>
    <row r="4" spans="1:2" x14ac:dyDescent="0.2">
      <c r="A4" s="3" t="s">
        <v>229</v>
      </c>
      <c r="B4" s="14">
        <v>68</v>
      </c>
    </row>
    <row r="5" spans="1:2" x14ac:dyDescent="0.2">
      <c r="A5" s="3" t="s">
        <v>230</v>
      </c>
      <c r="B5" s="14">
        <v>69</v>
      </c>
    </row>
    <row r="6" spans="1:2" x14ac:dyDescent="0.2">
      <c r="A6" s="3" t="s">
        <v>228</v>
      </c>
      <c r="B6" s="14">
        <v>63</v>
      </c>
    </row>
    <row r="7" spans="1:2" x14ac:dyDescent="0.2">
      <c r="A7" s="3" t="s">
        <v>246</v>
      </c>
      <c r="B7" s="14">
        <v>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DF55-4E1C-814C-9A18-B4DA57754E1D}">
  <dimension ref="A3:B14"/>
  <sheetViews>
    <sheetView zoomScale="125" zoomScaleNormal="125" workbookViewId="0">
      <selection activeCell="C22" sqref="C22"/>
    </sheetView>
  </sheetViews>
  <sheetFormatPr baseColWidth="10" defaultRowHeight="16" x14ac:dyDescent="0.2"/>
  <cols>
    <col min="1" max="1" width="13.33203125" bestFit="1" customWidth="1"/>
    <col min="2" max="2" width="23" bestFit="1" customWidth="1"/>
  </cols>
  <sheetData>
    <row r="3" spans="1:2" x14ac:dyDescent="0.2">
      <c r="A3" s="2" t="s">
        <v>245</v>
      </c>
      <c r="B3" t="s">
        <v>247</v>
      </c>
    </row>
    <row r="4" spans="1:2" x14ac:dyDescent="0.2">
      <c r="A4" s="3" t="s">
        <v>239</v>
      </c>
      <c r="B4" s="14">
        <v>6678.7647058823532</v>
      </c>
    </row>
    <row r="5" spans="1:2" x14ac:dyDescent="0.2">
      <c r="A5" s="3" t="s">
        <v>240</v>
      </c>
      <c r="B5" s="14">
        <v>6329</v>
      </c>
    </row>
    <row r="6" spans="1:2" x14ac:dyDescent="0.2">
      <c r="A6" s="3" t="s">
        <v>236</v>
      </c>
      <c r="B6" s="14">
        <v>6267.347826086957</v>
      </c>
    </row>
    <row r="7" spans="1:2" x14ac:dyDescent="0.2">
      <c r="A7" s="3" t="s">
        <v>234</v>
      </c>
      <c r="B7" s="14">
        <v>6236.708333333333</v>
      </c>
    </row>
    <row r="8" spans="1:2" x14ac:dyDescent="0.2">
      <c r="A8" s="3" t="s">
        <v>238</v>
      </c>
      <c r="B8" s="14">
        <v>6234.3888888888887</v>
      </c>
    </row>
    <row r="9" spans="1:2" x14ac:dyDescent="0.2">
      <c r="A9" s="3" t="s">
        <v>233</v>
      </c>
      <c r="B9" s="14">
        <v>6153.1764705882351</v>
      </c>
    </row>
    <row r="10" spans="1:2" x14ac:dyDescent="0.2">
      <c r="A10" s="3" t="s">
        <v>235</v>
      </c>
      <c r="B10" s="14">
        <v>6090.8235294117649</v>
      </c>
    </row>
    <row r="11" spans="1:2" x14ac:dyDescent="0.2">
      <c r="A11" s="3" t="s">
        <v>241</v>
      </c>
      <c r="B11" s="14">
        <v>5976</v>
      </c>
    </row>
    <row r="12" spans="1:2" x14ac:dyDescent="0.2">
      <c r="A12" s="3" t="s">
        <v>232</v>
      </c>
      <c r="B12" s="14">
        <v>5854.5</v>
      </c>
    </row>
    <row r="13" spans="1:2" x14ac:dyDescent="0.2">
      <c r="A13" s="3" t="s">
        <v>237</v>
      </c>
      <c r="B13" s="14">
        <v>5532.7</v>
      </c>
    </row>
    <row r="14" spans="1:2" x14ac:dyDescent="0.2">
      <c r="A14" s="3" t="s">
        <v>246</v>
      </c>
      <c r="B14" s="14">
        <v>6104.91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1B30-B208-C149-924A-9C7C0AEE81C7}">
  <dimension ref="A1:E5"/>
  <sheetViews>
    <sheetView zoomScale="125" zoomScaleNormal="125" workbookViewId="0">
      <selection activeCell="B9" sqref="B9"/>
    </sheetView>
  </sheetViews>
  <sheetFormatPr baseColWidth="10" defaultRowHeight="16" x14ac:dyDescent="0.2"/>
  <cols>
    <col min="1" max="1" width="16.5" bestFit="1" customWidth="1"/>
    <col min="2" max="2" width="16" bestFit="1" customWidth="1"/>
    <col min="3" max="3" width="9.5" bestFit="1" customWidth="1"/>
    <col min="4" max="4" width="9.83203125" bestFit="1" customWidth="1"/>
    <col min="5" max="5" width="10.5" bestFit="1" customWidth="1"/>
  </cols>
  <sheetData>
    <row r="1" spans="1:5" x14ac:dyDescent="0.2">
      <c r="A1" s="2" t="s">
        <v>248</v>
      </c>
      <c r="B1" s="2" t="s">
        <v>251</v>
      </c>
    </row>
    <row r="2" spans="1:5" x14ac:dyDescent="0.2">
      <c r="A2" s="2" t="s">
        <v>245</v>
      </c>
      <c r="B2" t="s">
        <v>229</v>
      </c>
      <c r="C2" t="s">
        <v>230</v>
      </c>
      <c r="D2" t="s">
        <v>228</v>
      </c>
      <c r="E2" t="s">
        <v>246</v>
      </c>
    </row>
    <row r="3" spans="1:5" x14ac:dyDescent="0.2">
      <c r="A3" s="3" t="s">
        <v>249</v>
      </c>
      <c r="B3" s="14">
        <v>26</v>
      </c>
      <c r="C3" s="14">
        <v>27</v>
      </c>
      <c r="D3" s="14"/>
      <c r="E3" s="14">
        <v>53</v>
      </c>
    </row>
    <row r="4" spans="1:5" x14ac:dyDescent="0.2">
      <c r="A4" s="3" t="s">
        <v>250</v>
      </c>
      <c r="B4" s="14">
        <v>42</v>
      </c>
      <c r="C4" s="14">
        <v>42</v>
      </c>
      <c r="D4" s="14">
        <v>63</v>
      </c>
      <c r="E4" s="14">
        <v>147</v>
      </c>
    </row>
    <row r="5" spans="1:5" x14ac:dyDescent="0.2">
      <c r="A5" s="3" t="s">
        <v>246</v>
      </c>
      <c r="B5" s="14">
        <v>68</v>
      </c>
      <c r="C5" s="14">
        <v>69</v>
      </c>
      <c r="D5" s="14">
        <v>63</v>
      </c>
      <c r="E5" s="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Patients</vt:lpstr>
      <vt:lpstr>Labs</vt:lpstr>
      <vt:lpstr>Outcomes</vt:lpstr>
      <vt:lpstr>Diagnosis</vt:lpstr>
      <vt:lpstr>Outcome Summary</vt:lpstr>
      <vt:lpstr>Cost by Diagnosis</vt:lpstr>
      <vt:lpstr>Risk vs 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Smiley Rastogi</dc:creator>
  <cp:lastModifiedBy>Smiley Rastogi</cp:lastModifiedBy>
  <dcterms:created xsi:type="dcterms:W3CDTF">2026-03-23T07:13:04Z</dcterms:created>
  <dcterms:modified xsi:type="dcterms:W3CDTF">2026-03-23T11:46:15Z</dcterms:modified>
</cp:coreProperties>
</file>